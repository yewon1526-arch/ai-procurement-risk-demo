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dc00fc46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155836ea1d0e4c4c"/>
    <x:sheet xmlns:r="http://schemas.openxmlformats.org/officeDocument/2006/relationships" name="Order_History" sheetId="2" r:id="R1d37bff79ff84887"/>
    <x:sheet xmlns:r="http://schemas.openxmlformats.org/officeDocument/2006/relationships" name="Item_Master" sheetId="3" r:id="R1f0442f577bf4505"/>
    <x:sheet xmlns:r="http://schemas.openxmlformats.org/officeDocument/2006/relationships" name="Supplier_Master" sheetId="4" r:id="R32689b4d022f435d"/>
    <x:sheet xmlns:r="http://schemas.openxmlformats.org/officeDocument/2006/relationships" name="Dashboard" sheetId="5" r:id="R145752e1633d4fde"/>
    <x:sheet xmlns:r="http://schemas.openxmlformats.org/officeDocument/2006/relationships" name="Scenarios" sheetId="6" r:id="R4ea1180e3ef6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"/>
    <x:numFmt numFmtId="202" formatCode="0"/>
    <x:numFmt numFmtId="203" formatCode="$#,##0.00"/>
    <x:numFmt numFmtId="204" formatCode="0.0%"/>
    <x:numFmt numFmtId="205" formatCode="$#,##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895121"/>
      <x:name val="Carlito"/>
    </x:font>
    <x:font>
      <x:b/>
      <x:sz val="11"/>
      <x:color rgb="FFFFFFFF"/>
      <x:name val="Carlito"/>
    </x:font>
    <x:font>
      <x:b/>
      <x:sz val="11"/>
      <x:color rgb="FF14283F"/>
      <x:name val="Carlito"/>
    </x:font>
    <x:font>
      <x:sz val="11"/>
      <x:color rgb="FF895121"/>
      <x:name val="Carlito"/>
    </x:font>
    <x:font>
      <x:b/>
      <x:sz val="14"/>
      <x:color rgb="FF134B6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83F"/>
      </x:patternFill>
    </x:fill>
    <x:fill>
      <x:patternFill patternType="solid">
        <x:fgColor rgb="FFFCE7CE"/>
      </x:patternFill>
    </x:fill>
    <x:fill>
      <x:patternFill patternType="solid">
        <x:fgColor rgb="FF206F99"/>
      </x:patternFill>
    </x:fill>
    <x:fill>
      <x:patternFill patternType="solid">
        <x:fgColor rgb="FFF1F6FA"/>
      </x:patternFill>
    </x:fill>
    <x:fill>
      <x:patternFill patternType="solid">
        <x:fgColor rgb="FFEFFBFC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204" fontId="0" fillId="6" borderId="0" xfId="0" applyNumberFormat="1" applyFont="1" applyFill="1" applyBorder="1"/>
    <x:xf numFmtId="0" fontId="6" fillId="6" borderId="0" xfId="0" applyNumberFormat="1" applyFont="1" applyFill="1" applyBorder="1"/>
    <x:xf numFmtId="203" fontId="6" fillId="6" borderId="0" xfId="0" applyNumberFormat="1" applyFont="1" applyFill="1" applyBorder="1"/>
    <x:xf numFmtId="204" fontId="6" fillId="6" borderId="0" xfId="0" applyNumberFormat="1" applyFont="1" applyFill="1" applyBorder="1"/>
    <x:xf numFmtId="0" fontId="0" fillId="6" borderId="1" xfId="0" applyNumberFormat="1" applyFont="1" applyFill="1" applyBorder="1"/>
    <x:xf numFmtId="203" fontId="0" fillId="6" borderId="1" xfId="0" applyNumberFormat="1" applyFont="1" applyFill="1" applyBorder="1"/>
    <x:xf numFmtId="204" fontId="0" fillId="6" borderId="1" xfId="0" applyNumberFormat="1" applyFont="1" applyFill="1" applyBorder="1"/>
    <x:xf numFmtId="0" fontId="6" fillId="6" borderId="1" xfId="0" applyNumberFormat="1" applyFont="1" applyFill="1" applyBorder="1"/>
    <x:xf numFmtId="203" fontId="6" fillId="6" borderId="1" xfId="0" applyNumberFormat="1" applyFont="1" applyFill="1" applyBorder="1"/>
    <x:xf numFmtId="204" fontId="6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9D271D"/>
      </x:font>
      <x:fill>
        <x:patternFill patternType="solid">
          <x:bgColor rgb="FFFFE0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90a5c480f46b1" /><Relationship Type="http://schemas.openxmlformats.org/officeDocument/2006/relationships/theme" Target="/xl/theme/theme1.xml" Id="R884ba5f9ece74ccf" /><Relationship Type="http://schemas.openxmlformats.org/officeDocument/2006/relationships/sharedStrings" Target="/xl/sharedStrings.xml" Id="Rabcd11accebb4d68" /><Relationship Type="http://schemas.openxmlformats.org/officeDocument/2006/relationships/worksheet" Target="/xl/worksheets/sheet1.xml" Id="R155836ea1d0e4c4c" /><Relationship Type="http://schemas.openxmlformats.org/officeDocument/2006/relationships/worksheet" Target="/xl/worksheets/sheet2.xml" Id="R1d37bff79ff84887" /><Relationship Type="http://schemas.openxmlformats.org/officeDocument/2006/relationships/worksheet" Target="/xl/worksheets/sheet3.xml" Id="R1f0442f577bf4505" /><Relationship Type="http://schemas.openxmlformats.org/officeDocument/2006/relationships/worksheet" Target="/xl/worksheets/sheet4.xml" Id="R32689b4d022f435d" /><Relationship Type="http://schemas.openxmlformats.org/officeDocument/2006/relationships/worksheet" Target="/xl/worksheets/sheet5.xml" Id="R145752e1633d4fde" /><Relationship Type="http://schemas.openxmlformats.org/officeDocument/2006/relationships/worksheet" Target="/xl/worksheets/sheet6.xml" Id="R4ea1180e3ef649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54716976b944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Spend by research stream (demo)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Spend USD</c:v>
          </c:tx>
          <c:cat>
            <c:strRef>
              <c:f>'Dashboard'!$H$23:$H$25</c:f>
              <c:strCache>
                <c:ptCount val="0"/>
              </c:strCache>
            </c:strRef>
          </c:cat>
          <c:val>
            <c:numRef>
              <c:f>'Dashboard'!$I$23:$I$25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54716976b944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Purchases" displayName="SyntheticPurchases" ref="A1:Z166" headerRowCount="1" totalsRowCount="0" totalsRowShown="0">
  <x:tableColumns count="26">
    <x:tableColumn id="1" name="PO_ID"/>
    <x:tableColumn id="2" name="Project"/>
    <x:tableColumn id="3" name="Item_Code"/>
    <x:tableColumn id="4" name="Item_Name"/>
    <x:tableColumn id="5" name="Specification"/>
    <x:tableColumn id="6" name="Category"/>
    <x:tableColumn id="7" name="Supplier_ID"/>
    <x:tableColumn id="8" name="Supplier_Name"/>
    <x:tableColumn id="9" name="Order_Date"/>
    <x:tableColumn id="10" name="Promised_Date"/>
    <x:tableColumn id="11" name="Receipt_Date"/>
    <x:tableColumn id="12" name="Quantity"/>
    <x:tableColumn id="13" name="UOM"/>
    <x:tableColumn id="14" name="Unit_Price_USD"/>
    <x:tableColumn id="15" name="Shipping_USD"/>
    <x:tableColumn id="16" name="Total_Cost_USD"/>
    <x:tableColumn id="17" name="Planned_Lead_Days"/>
    <x:tableColumn id="18" name="Actual_Lead_Days"/>
    <x:tableColumn id="19" name="Delay_Days"/>
    <x:tableColumn id="20" name="Delivery_Status"/>
    <x:tableColumn id="21" name="Quality_Result"/>
    <x:tableColumn id="22" name="Criticality"/>
    <x:tableColumn id="23" name="Backup_Supplier_ID"/>
    <x:tableColumn id="24" name="Order_Channel"/>
    <x:tableColumn id="25" name="Notes"/>
    <x:tableColumn id="26" name="Data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Items" displayName="SyntheticItems" ref="A1:K36" headerRowCount="1" totalsRowCount="0" totalsRowShown="0">
  <x:tableColumns count="11">
    <x:tableColumn id="1" name="Item_Code"/>
    <x:tableColumn id="2" name="Project"/>
    <x:tableColumn id="3" name="Category"/>
    <x:tableColumn id="4" name="Item_Name"/>
    <x:tableColumn id="5" name="Specification"/>
    <x:tableColumn id="6" name="UOM"/>
    <x:tableColumn id="7" name="Base_Unit_USD_DEMO"/>
    <x:tableColumn id="8" name="Typical_Qty"/>
    <x:tableColumn id="9" name="Candidate_Suppliers"/>
    <x:tableColumn id="10" name="Criticality"/>
    <x:tableColumn id="11" name="Record_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yntheticSuppliers" displayName="SyntheticSuppliers" ref="A1:H9" headerRowCount="1" totalsRowCount="0" totalsRowShown="0">
  <x:tableColumns count="8">
    <x:tableColumn id="1" name="Supplier_ID"/>
    <x:tableColumn id="2" name="Supplier_Name"/>
    <x:tableColumn id="3" name="Supply_Specialty"/>
    <x:tableColumn id="4" name="Nominal_Lead_Days_DEMO"/>
    <x:tableColumn id="5" name="Country"/>
    <x:tableColumn id="6" name="Contact"/>
    <x:tableColumn id="7" name="Status"/>
    <x:tableColumn id="8" name="Record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7049202faa45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de88204bf847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1f7779990f42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4b4f26e955b342c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6" customHeight="1">
      <x:c r="A1" s="4" t="str">
        <x:v>BIOSENSOR LAB | PROCUREMENT DATA DEMO</x:v>
      </x:c>
      <x:c r="B1" s="4"/>
      <x:c r="C1" s="4"/>
      <x:c r="D1" s="4"/>
      <x:c r="E1" s="4"/>
      <x:c r="F1" s="4"/>
      <x:c r="G1" s="4"/>
      <x:c r="H1" s="4"/>
    </x:row>
    <x:row r="3" ht="25" customHeight="1">
      <x:c r="A3" s="10" t="str">
        <x:v>DEMO ONLY / SYNTHETIC DATA — 아래 발주 기록은 실제 애리조나대학교의 구매·회계 원장이 아닙니다. 날짜, 업체, 가격, 납기, 품질 결과는 AI 구매관리 웹앱 테스트를 위해 생성한 가상 값입니다.</x:v>
      </x:c>
      <x:c r="B3" s="10"/>
      <x:c r="C3" s="10"/>
      <x:c r="D3" s="10"/>
      <x:c r="E3" s="10"/>
      <x:c r="F3" s="10"/>
      <x:c r="G3" s="10"/>
      <x:c r="H3" s="10"/>
    </x:row>
    <x:row r="4" ht="25" customHeight="1">
      <x:c r="A4" s="10"/>
      <x:c r="B4" s="10"/>
      <x:c r="C4" s="10"/>
      <x:c r="D4" s="10"/>
      <x:c r="E4" s="10"/>
      <x:c r="F4" s="10"/>
      <x:c r="G4" s="10"/>
      <x:c r="H4" s="10"/>
    </x:row>
    <x:row r="6" ht="32" customHeight="1">
      <x:c r="A6" s="17" t="str">
        <x:v>항목</x:v>
      </x:c>
      <x:c r="B6" s="17" t="str">
        <x:v>설명</x:v>
      </x:c>
    </x:row>
    <x:row r="7" ht="36" customHeight="1">
      <x:c r="A7" s="23" t="str">
        <x:v>모형 배경</x:v>
      </x:c>
      <x:c r="B7" s="26" t="str">
        <x:v>University of Arizona Biosensors Laboratory의 종이 미세유체칩, 스마트폰 기반 검출, Organ-on-a-Chip 연구 분야를 참고해 품목을 구성했습니다.</x:v>
      </x:c>
    </x:row>
    <x:row r="8" ht="36" customHeight="1">
      <x:c r="A8" s="23" t="str">
        <x:v>본인 경험과 연결</x:v>
      </x:c>
      <x:c r="B8" s="26" t="str">
        <x:v>사용자가 설명한 SALSA(종이 미세유체), IMCD kidney-on-a-chip, 스마트폰 영상 분석 경험을 토대로 프로젝트를 구분했습니다.</x:v>
      </x:c>
    </x:row>
    <x:row r="9" ht="36" customHeight="1">
      <x:c r="A9" s="23" t="str">
        <x:v>데이터 범위</x:v>
      </x:c>
      <x:c r="B9" s="26" t="str">
        <x:v>2024-11-18 ~ 2025-06-19 발주, 2025-06-23 기준 입고 현황, 165개 가상 발주 레코드</x:v>
      </x:c>
    </x:row>
    <x:row r="10" ht="36" customHeight="1">
      <x:c r="A10" s="23" t="str">
        <x:v>가격·업체</x:v>
      </x:c>
      <x:c r="B10" s="26" t="str">
        <x:v>단가는 USD 추정 모의값입니다. 모든 공급업체 이름과 발주 건수/납기/품질/가격은 가상입니다.</x:v>
      </x:c>
    </x:row>
    <x:row r="11" ht="36" customHeight="1">
      <x:c r="A11" s="23" t="str">
        <x:v>Order_History</x:v>
      </x:c>
      <x:c r="B11" s="26" t="str">
        <x:v>주문 1건당 한 행. 과거 구매 이력 Excel/CSV 업로드 기능 시연용으로 사용합니다.</x:v>
      </x:c>
    </x:row>
    <x:row r="12" ht="36" customHeight="1">
      <x:c r="A12" s="23" t="str">
        <x:v>Item_Master</x:v>
      </x:c>
      <x:c r="B12" s="26" t="str">
        <x:v>품목별 사양·기본 단가·리스크 등급·대체 공급업체 후보 마스터</x:v>
      </x:c>
    </x:row>
    <x:row r="13" ht="50" customHeight="1">
      <x:c r="A13" s="23" t="str">
        <x:v>Supplier_Master</x:v>
      </x:c>
      <x:c r="B13" s="26" t="str">
        <x:v>가상의 업체별 공급 분야와 표준 리드타임 예시</x:v>
      </x:c>
    </x:row>
    <x:row r="14" ht="50" customHeight="1">
      <x:c r="A14" s="23" t="str">
        <x:v>Dashboard</x:v>
      </x:c>
      <x:c r="B14" s="26" t="str">
        <x:v>수식으로 계산된 구매 규모·납기 상태·프로젝트별 구매액·업체별 납기 비율</x:v>
      </x:c>
    </x:row>
    <x:row r="15" ht="36" customHeight="1">
      <x:c r="A15" s="23" t="str">
        <x:v>Scenarios</x:v>
      </x:c>
      <x:c r="B15" s="26" t="str">
        <x:v>AI에 넣어 볼 구매 의사결정 상황 및 검증 기준 3개</x:v>
      </x:c>
    </x:row>
    <x:row r="16" ht="36" customHeight="1">
      <x:c r="A16" s="23" t="str">
        <x:v>업로드 방법</x:v>
      </x:c>
      <x:c r="B16" s="26" t="str">
        <x:v>웹앱에는 별도 CSV 파일을 우선 업로드하세요. Excel은 수식·필터·분석용이며 CSV는 계산값으로 저장돼 있습니다.</x:v>
      </x:c>
    </x:row>
    <x:row r="17" ht="36" customHeight="1">
      <x:c r="A17" s="23" t="str">
        <x:v>주의</x:v>
      </x:c>
      <x:c r="B17" s="26" t="str">
        <x:v>다른 연구원의 실제 구매 이력, 연구실 공식 발주 이력, 연구실에서 배포·운영된 시스템으로 표현하면 안 됩니다.</x:v>
      </x:c>
    </x:row>
    <x:row r="18" ht="36" customHeight="1">
      <x:c r="A18" s="23" t="str">
        <x:v>연구 분야 참고 자료</x:v>
      </x:c>
      <x:c r="B18" s="26" t="str">
        <x:v>https://biosensors.abe.arizona.edu/res.htm</x:v>
      </x:c>
    </x:row>
    <x:row r="19" ht="36" customHeight="1">
      <x:c r="A19" s="23" t="str">
        <x:v>IMCD 구성 원리 참고</x:v>
      </x:c>
      <x:c r="B19" s="26" t="str">
        <x:v>https://doi.org/10.1039/B907515A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14" hidden="0" customWidth="1"/>
    <x:col min="4" max="4" width="27" hidden="0" customWidth="1"/>
    <x:col min="5" max="5" width="32" hidden="0" customWidth="1"/>
    <x:col min="6" max="6" width="20" hidden="0" customWidth="1"/>
    <x:col min="7" max="7" width="15" hidden="0" customWidth="1"/>
    <x:col min="8" max="8" width="28" hidden="0" customWidth="1"/>
    <x:col min="9" max="9" width="16" hidden="0" customWidth="1"/>
    <x:col min="10" max="10" width="16" hidden="0" customWidth="1"/>
    <x:col min="11" max="11" width="16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9" hidden="0" customWidth="1"/>
    <x:col min="22" max="22" width="19" hidden="0" customWidth="1"/>
    <x:col min="23" max="23" width="19" hidden="0" customWidth="1"/>
    <x:col min="24" max="24" width="20" hidden="0" customWidth="1"/>
    <x:col min="25" max="25" width="46" hidden="0" customWidth="1"/>
    <x:col min="26" max="26" width="21" hidden="0" customWidth="1"/>
  </x:cols>
  <x:sheetData>
    <x:row r="1" ht="32" customHeight="1">
      <x:c r="A1" s="17" t="str">
        <x:v>PO_ID</x:v>
      </x:c>
      <x:c r="B1" s="17" t="str">
        <x:v>Project</x:v>
      </x:c>
      <x:c r="C1" s="17" t="str">
        <x:v>Item_Code</x:v>
      </x:c>
      <x:c r="D1" s="17" t="str">
        <x:v>Item_Name</x:v>
      </x:c>
      <x:c r="E1" s="17" t="str">
        <x:v>Specification</x:v>
      </x:c>
      <x:c r="F1" s="17" t="str">
        <x:v>Category</x:v>
      </x:c>
      <x:c r="G1" s="17" t="str">
        <x:v>Supplier_ID</x:v>
      </x:c>
      <x:c r="H1" s="17" t="str">
        <x:v>Supplier_Name</x:v>
      </x:c>
      <x:c r="I1" s="17" t="str">
        <x:v>Order_Date</x:v>
      </x:c>
      <x:c r="J1" s="17" t="str">
        <x:v>Promised_Date</x:v>
      </x:c>
      <x:c r="K1" s="17" t="str">
        <x:v>Receipt_Date</x:v>
      </x:c>
      <x:c r="L1" s="17" t="str">
        <x:v>Quantity</x:v>
      </x:c>
      <x:c r="M1" s="17" t="str">
        <x:v>UOM</x:v>
      </x:c>
      <x:c r="N1" s="17" t="str">
        <x:v>Unit_Price_USD</x:v>
      </x:c>
      <x:c r="O1" s="17" t="str">
        <x:v>Shipping_USD</x:v>
      </x:c>
      <x:c r="P1" s="17" t="str">
        <x:v>Total_Cost_USD</x:v>
      </x:c>
      <x:c r="Q1" s="17" t="str">
        <x:v>Planned_Lead_Days</x:v>
      </x:c>
      <x:c r="R1" s="17" t="str">
        <x:v>Actual_Lead_Days</x:v>
      </x:c>
      <x:c r="S1" s="17" t="str">
        <x:v>Delay_Days</x:v>
      </x:c>
      <x:c r="T1" s="17" t="str">
        <x:v>Delivery_Status</x:v>
      </x:c>
      <x:c r="U1" s="17" t="str">
        <x:v>Quality_Result</x:v>
      </x:c>
      <x:c r="V1" s="17" t="str">
        <x:v>Criticality</x:v>
      </x:c>
      <x:c r="W1" s="17" t="str">
        <x:v>Backup_Supplier_ID</x:v>
      </x:c>
      <x:c r="X1" s="17" t="str">
        <x:v>Order_Channel</x:v>
      </x:c>
      <x:c r="Y1" s="17" t="str">
        <x:v>Notes</x:v>
      </x:c>
      <x:c r="Z1" s="17" t="str">
        <x:v>Data_Type</x:v>
      </x:c>
    </x:row>
    <x:row r="2">
      <x:c r="A2" t="str">
        <x:v>SIM-UA-0001</x:v>
      </x:c>
      <x:c r="B2" t="str">
        <x:v>IMCD kidney-on-a-chip</x:v>
      </x:c>
      <x:c r="C2" t="str">
        <x:v>OOC-004</x:v>
      </x:c>
      <x:c r="D2" t="str">
        <x:v>Glass cover slips</x:v>
      </x:c>
      <x:c r="E2" t="str">
        <x:v>No. 1.5, 100/pack</x:v>
      </x:c>
      <x:c r="F2" t="str">
        <x:v>Chip fabrication</x:v>
      </x:c>
      <x:c r="G2" t="str">
        <x:v>SUP-01</x:v>
      </x:c>
      <x:c r="H2" t="str">
        <x:v>Sonoran Scientific Supply</x:v>
      </x:c>
      <x:c r="I2" s="28" t="n">
        <x:v>45616</x:v>
      </x:c>
      <x:c r="J2" s="28" t="n">
        <x:v>45626</x:v>
      </x:c>
      <x:c r="K2" s="28" t="n">
        <x:v>45626</x:v>
      </x:c>
      <x:c r="L2" s="32" t="n">
        <x:v>1</x:v>
      </x:c>
      <x:c r="M2" t="str">
        <x:v>pack</x:v>
      </x:c>
      <x:c r="N2" s="30" t="n">
        <x:v>47.66</x:v>
      </x:c>
      <x:c r="O2" s="30" t="n">
        <x:v>8.5</x:v>
      </x:c>
      <x:c r="P2" s="30" t="n">
        <x:f>L2*N2+O2</x:f>
        <x:v>56.16</x:v>
      </x:c>
      <x:c r="Q2" s="32" t="n">
        <x:f>J2-I2</x:f>
        <x:v>10</x:v>
      </x:c>
      <x:c r="R2" s="32" t="n">
        <x:f>IF(K2="","",K2-I2)</x:f>
        <x:v>10</x:v>
      </x:c>
      <x:c r="S2" s="32" t="n">
        <x:f>IF(K2="","",MAX(0,K2-J2))</x:f>
        <x:v>0</x:v>
      </x:c>
      <x:c r="T2" t="str">
        <x:f>IF(K2="","PENDING",IF(K2&lt;=J2,"ON_TIME","LATE"))</x:f>
        <x:v>ON_TIME</x:v>
      </x:c>
      <x:c r="U2" t="str">
        <x:v>ACCEPTED</x:v>
      </x:c>
      <x:c r="V2" t="str">
        <x:v>MEDIUM</x:v>
      </x:c>
      <x:c r="W2" t="str">
        <x:v>SUP-04</x:v>
      </x:c>
      <x:c r="X2" t="str">
        <x:v>Institutional catalog</x:v>
      </x:c>
      <x:c r="Y2" t="str">
        <x:v>Routine replenishment</x:v>
      </x:c>
      <x:c r="Z2" s="9" t="str">
        <x:v>SYNTHETIC_DEMO</x:v>
      </x:c>
    </x:row>
    <x:row r="3">
      <x:c r="A3" t="str">
        <x:v>SIM-UA-0002</x:v>
      </x:c>
      <x:c r="B3" t="str">
        <x:v>IMCD kidney-on-a-chip</x:v>
      </x:c>
      <x:c r="C3" t="str">
        <x:v>OOC-012</x:v>
      </x:c>
      <x:c r="D3" t="str">
        <x:v>Trypsin-EDTA</x:v>
      </x:c>
      <x:c r="E3" t="str">
        <x:v>100 mL, cell dissociation</x:v>
      </x:c>
      <x:c r="F3" t="str">
        <x:v>Cell culture</x:v>
      </x:c>
      <x:c r="G3" t="str">
        <x:v>SUP-02</x:v>
      </x:c>
      <x:c r="H3" t="str">
        <x:v>Desert BioReagents</x:v>
      </x:c>
      <x:c r="I3" s="28" t="n">
        <x:v>45616</x:v>
      </x:c>
      <x:c r="J3" s="28" t="n">
        <x:v>45623</x:v>
      </x:c>
      <x:c r="K3" s="28" t="n">
        <x:v>45628</x:v>
      </x:c>
      <x:c r="L3" s="32" t="n">
        <x:v>1</x:v>
      </x:c>
      <x:c r="M3" t="str">
        <x:v>bottle</x:v>
      </x:c>
      <x:c r="N3" s="30" t="n">
        <x:v>35.14</x:v>
      </x:c>
      <x:c r="O3" s="30" t="n">
        <x:v>8.5</x:v>
      </x:c>
      <x:c r="P3" s="30" t="n">
        <x:f>L3*N3+O3</x:f>
        <x:v>43.64</x:v>
      </x:c>
      <x:c r="Q3" s="32" t="n">
        <x:f>J3-I3</x:f>
        <x:v>7</x:v>
      </x:c>
      <x:c r="R3" s="32" t="n">
        <x:f>IF(K3="","",K3-I3)</x:f>
        <x:v>12</x:v>
      </x:c>
      <x:c r="S3" s="32" t="n">
        <x:f>IF(K3="","",MAX(0,K3-J3))</x:f>
        <x:v>5</x:v>
      </x:c>
      <x:c r="T3" t="str">
        <x:f>IF(K3="","PENDING",IF(K3&lt;=J3,"ON_TIME","LATE"))</x:f>
        <x:v>LATE</x:v>
      </x:c>
      <x:c r="U3" t="str">
        <x:v>ACCEPTED</x:v>
      </x:c>
      <x:c r="V3" t="str">
        <x:v>MEDIUM</x:v>
      </x:c>
      <x:c r="W3" t="str">
        <x:v>SUP-01</x:v>
      </x:c>
      <x:c r="X3" t="str">
        <x:v>Institutional catalog</x:v>
      </x:c>
      <x:c r="Y3" t="str">
        <x:v>Illustrative delivery delay; review alternate sourcing</x:v>
      </x:c>
      <x:c r="Z3" s="9" t="str">
        <x:v>SYNTHETIC_DEMO</x:v>
      </x:c>
    </x:row>
    <x:row r="4">
      <x:c r="A4" t="str">
        <x:v>SIM-UA-0003</x:v>
      </x:c>
      <x:c r="B4" t="str">
        <x:v>Paper microfluidics (SALSA)</x:v>
      </x:c>
      <x:c r="C4" t="str">
        <x:v>PAP-011</x:v>
      </x:c>
      <x:c r="D4" t="str">
        <x:v>Microcentrifuge tubes</x:v>
      </x:c>
      <x:c r="E4" t="str">
        <x:v>1.5 mL, 500/pack</x:v>
      </x:c>
      <x:c r="F4" t="str">
        <x:v>Assay reagents</x:v>
      </x:c>
      <x:c r="G4" t="str">
        <x:v>SUP-01</x:v>
      </x:c>
      <x:c r="H4" t="str">
        <x:v>Sonoran Scientific Supply</x:v>
      </x:c>
      <x:c r="I4" s="28" t="n">
        <x:v>45617</x:v>
      </x:c>
      <x:c r="J4" s="28" t="n">
        <x:v>45622</x:v>
      </x:c>
      <x:c r="K4" s="28" t="n">
        <x:v>45620</x:v>
      </x:c>
      <x:c r="L4" s="32" t="n">
        <x:v>4</x:v>
      </x:c>
      <x:c r="M4" t="str">
        <x:v>pack</x:v>
      </x:c>
      <x:c r="N4" s="30" t="n">
        <x:v>32.49</x:v>
      </x:c>
      <x:c r="O4" s="30" t="n">
        <x:v>15</x:v>
      </x:c>
      <x:c r="P4" s="30" t="n">
        <x:f>L4*N4+O4</x:f>
        <x:v>144.96</x:v>
      </x:c>
      <x:c r="Q4" s="32" t="n">
        <x:f>J4-I4</x:f>
        <x:v>5</x:v>
      </x:c>
      <x:c r="R4" s="32" t="n">
        <x:f>IF(K4="","",K4-I4)</x:f>
        <x:v>3</x:v>
      </x:c>
      <x:c r="S4" s="32" t="n">
        <x:f>IF(K4="","",MAX(0,K4-J4))</x:f>
        <x:v>0</x:v>
      </x:c>
      <x:c r="T4" t="str">
        <x:f>IF(K4="","PENDING",IF(K4&lt;=J4,"ON_TIME","LATE"))</x:f>
        <x:v>ON_TIME</x:v>
      </x:c>
      <x:c r="U4" t="str">
        <x:v>ACCEPTED</x:v>
      </x:c>
      <x:c r="V4" t="str">
        <x:v>LOW</x:v>
      </x:c>
      <x:c r="W4" t="str">
        <x:v>SUP-07</x:v>
      </x:c>
      <x:c r="X4" t="str">
        <x:v>Quote-to-PO</x:v>
      </x:c>
      <x:c r="Y4" t="str">
        <x:v>Experiment schedule-driven reorder</x:v>
      </x:c>
      <x:c r="Z4" s="9" t="str">
        <x:v>SYNTHETIC_DEMO</x:v>
      </x:c>
    </x:row>
    <x:row r="5">
      <x:c r="A5" t="str">
        <x:v>SIM-UA-0004</x:v>
      </x:c>
      <x:c r="B5" t="str">
        <x:v>Paper microfluidics (SALSA)</x:v>
      </x:c>
      <x:c r="C5" t="str">
        <x:v>PAP-001</x:v>
      </x:c>
      <x:c r="D5" t="str">
        <x:v>Cellulose filter paper</x:v>
      </x:c>
      <x:c r="E5" t="str">
        <x:v>Grade 1, 100 sheets</x:v>
      </x:c>
      <x:c r="F5" t="str">
        <x:v>Paper &amp; membrane</x:v>
      </x:c>
      <x:c r="G5" t="str">
        <x:v>SUP-01</x:v>
      </x:c>
      <x:c r="H5" t="str">
        <x:v>Sonoran Scientific Supply</x:v>
      </x:c>
      <x:c r="I5" s="28" t="n">
        <x:v>45619</x:v>
      </x:c>
      <x:c r="J5" s="28" t="n">
        <x:v>45623</x:v>
      </x:c>
      <x:c r="K5" s="28" t="n">
        <x:v>45623</x:v>
      </x:c>
      <x:c r="L5" s="32" t="n">
        <x:v>3</x:v>
      </x:c>
      <x:c r="M5" t="str">
        <x:v>pack</x:v>
      </x:c>
      <x:c r="N5" s="30" t="n">
        <x:v>54.1</x:v>
      </x:c>
      <x:c r="O5" s="30" t="n">
        <x:v>22.5</x:v>
      </x:c>
      <x:c r="P5" s="30" t="n">
        <x:f>L5*N5+O5</x:f>
        <x:v>184.8</x:v>
      </x:c>
      <x:c r="Q5" s="32" t="n">
        <x:f>J5-I5</x:f>
        <x:v>4</x:v>
      </x:c>
      <x:c r="R5" s="32" t="n">
        <x:f>IF(K5="","",K5-I5)</x:f>
        <x:v>4</x:v>
      </x:c>
      <x:c r="S5" s="32" t="n">
        <x:f>IF(K5="","",MAX(0,K5-J5))</x:f>
        <x:v>0</x:v>
      </x:c>
      <x:c r="T5" t="str">
        <x:f>IF(K5="","PENDING",IF(K5&lt;=J5,"ON_TIME","LATE"))</x:f>
        <x:v>ON_TIME</x:v>
      </x:c>
      <x:c r="U5" t="str">
        <x:v>ACCEPTED</x:v>
      </x:c>
      <x:c r="V5" t="str">
        <x:v>MEDIUM</x:v>
      </x:c>
      <x:c r="W5" t="str">
        <x:v>SUP-03</x:v>
      </x:c>
      <x:c r="X5" t="str">
        <x:v>Quote-to-PO</x:v>
      </x:c>
      <x:c r="Y5" t="str">
        <x:v>Routine replenishment</x:v>
      </x:c>
      <x:c r="Z5" s="9" t="str">
        <x:v>SYNTHETIC_DEMO</x:v>
      </x:c>
    </x:row>
    <x:row r="6">
      <x:c r="A6" t="str">
        <x:v>SIM-UA-0005</x:v>
      </x:c>
      <x:c r="B6" t="str">
        <x:v>Paper microfluidics (SALSA)</x:v>
      </x:c>
      <x:c r="C6" t="str">
        <x:v>PAP-003</x:v>
      </x:c>
      <x:c r="D6" t="str">
        <x:v>Nitrocellulose membrane</x:v>
      </x:c>
      <x:c r="E6" t="str">
        <x:v>0.45 µm, sheets, 25/pack</x:v>
      </x:c>
      <x:c r="F6" t="str">
        <x:v>Paper &amp; membrane</x:v>
      </x:c>
      <x:c r="G6" t="str">
        <x:v>SUP-03</x:v>
      </x:c>
      <x:c r="H6" t="str">
        <x:v>Catalina Paper &amp; Membrane</x:v>
      </x:c>
      <x:c r="I6" s="28" t="n">
        <x:v>45621</x:v>
      </x:c>
      <x:c r="J6" s="28" t="n">
        <x:v>45627</x:v>
      </x:c>
      <x:c r="K6" s="28" t="n">
        <x:v>45627</x:v>
      </x:c>
      <x:c r="L6" s="32" t="n">
        <x:v>2</x:v>
      </x:c>
      <x:c r="M6" t="str">
        <x:v>pack</x:v>
      </x:c>
      <x:c r="N6" s="30" t="n">
        <x:v>161.7</x:v>
      </x:c>
      <x:c r="O6" s="30" t="n">
        <x:v>18</x:v>
      </x:c>
      <x:c r="P6" s="30" t="n">
        <x:f>L6*N6+O6</x:f>
        <x:v>341.4</x:v>
      </x:c>
      <x:c r="Q6" s="32" t="n">
        <x:f>J6-I6</x:f>
        <x:v>6</x:v>
      </x:c>
      <x:c r="R6" s="32" t="n">
        <x:f>IF(K6="","",K6-I6)</x:f>
        <x:v>6</x:v>
      </x:c>
      <x:c r="S6" s="32" t="n">
        <x:f>IF(K6="","",MAX(0,K6-J6))</x:f>
        <x:v>0</x:v>
      </x:c>
      <x:c r="T6" t="str">
        <x:f>IF(K6="","PENDING",IF(K6&lt;=J6,"ON_TIME","LATE"))</x:f>
        <x:v>ON_TIME</x:v>
      </x:c>
      <x:c r="U6" t="str">
        <x:v>ACCEPTED</x:v>
      </x:c>
      <x:c r="V6" t="str">
        <x:v>HIGH</x:v>
      </x:c>
      <x:c r="W6" t="str">
        <x:v>SUP-01</x:v>
      </x:c>
      <x:c r="X6" t="str">
        <x:v>Quote-to-PO</x:v>
      </x:c>
      <x:c r="Y6" t="str">
        <x:v>Routine replenishment</x:v>
      </x:c>
      <x:c r="Z6" s="9" t="str">
        <x:v>SYNTHETIC_DEMO</x:v>
      </x:c>
    </x:row>
    <x:row r="7">
      <x:c r="A7" t="str">
        <x:v>SIM-UA-0006</x:v>
      </x:c>
      <x:c r="B7" t="str">
        <x:v>IMCD kidney-on-a-chip</x:v>
      </x:c>
      <x:c r="C7" t="str">
        <x:v>OOC-003</x:v>
      </x:c>
      <x:c r="D7" t="str">
        <x:v>Microscope glass slides</x:v>
      </x:c>
      <x:c r="E7" t="str">
        <x:v>75 × 25 mm, 72/box</x:v>
      </x:c>
      <x:c r="F7" t="str">
        <x:v>Chip fabrication</x:v>
      </x:c>
      <x:c r="G7" t="str">
        <x:v>SUP-01</x:v>
      </x:c>
      <x:c r="H7" t="str">
        <x:v>Sonoran Scientific Supply</x:v>
      </x:c>
      <x:c r="I7" s="28" t="n">
        <x:v>45621</x:v>
      </x:c>
      <x:c r="J7" s="28" t="n">
        <x:v>45628</x:v>
      </x:c>
      <x:c r="K7" s="28" t="n">
        <x:v>45627</x:v>
      </x:c>
      <x:c r="L7" s="32" t="n">
        <x:v>1</x:v>
      </x:c>
      <x:c r="M7" t="str">
        <x:v>box</x:v>
      </x:c>
      <x:c r="N7" s="30" t="n">
        <x:v>35.57</x:v>
      </x:c>
      <x:c r="O7" s="30" t="n">
        <x:v>22.5</x:v>
      </x:c>
      <x:c r="P7" s="30" t="n">
        <x:f>L7*N7+O7</x:f>
        <x:v>58.07</x:v>
      </x:c>
      <x:c r="Q7" s="32" t="n">
        <x:f>J7-I7</x:f>
        <x:v>7</x:v>
      </x:c>
      <x:c r="R7" s="32" t="n">
        <x:f>IF(K7="","",K7-I7)</x:f>
        <x:v>6</x:v>
      </x:c>
      <x:c r="S7" s="32" t="n">
        <x:f>IF(K7="","",MAX(0,K7-J7))</x:f>
        <x:v>0</x:v>
      </x:c>
      <x:c r="T7" t="str">
        <x:f>IF(K7="","PENDING",IF(K7&lt;=J7,"ON_TIME","LATE"))</x:f>
        <x:v>ON_TIME</x:v>
      </x:c>
      <x:c r="U7" t="str">
        <x:v>ACCEPTED</x:v>
      </x:c>
      <x:c r="V7" t="str">
        <x:v>MEDIUM</x:v>
      </x:c>
      <x:c r="W7" t="str">
        <x:v>SUP-04</x:v>
      </x:c>
      <x:c r="X7" t="str">
        <x:v>Vendor web</x:v>
      </x:c>
      <x:c r="Y7" t="str">
        <x:v>Prototype iteration demand</x:v>
      </x:c>
      <x:c r="Z7" s="9" t="str">
        <x:v>SYNTHETIC_DEMO</x:v>
      </x:c>
    </x:row>
    <x:row r="8">
      <x:c r="A8" t="str">
        <x:v>SIM-UA-0007</x:v>
      </x:c>
      <x:c r="B8" t="str">
        <x:v>Smartphone optical readout</x:v>
      </x:c>
      <x:c r="C8" t="str">
        <x:v>IMG-007</x:v>
      </x:c>
      <x:c r="D8" t="str">
        <x:v>Acrylic laser-cut frame</x:v>
      </x:c>
      <x:c r="E8" t="str">
        <x:v>Custom microfluidic imaging frame</x:v>
      </x:c>
      <x:c r="F8" t="str">
        <x:v>Prototype hardware</x:v>
      </x:c>
      <x:c r="G8" t="str">
        <x:v>SUP-08</x:v>
      </x:c>
      <x:c r="H8" t="str">
        <x:v>Precision Prototype Services</x:v>
      </x:c>
      <x:c r="I8" s="28" t="n">
        <x:v>45624</x:v>
      </x:c>
      <x:c r="J8" s="28" t="n">
        <x:v>45636</x:v>
      </x:c>
      <x:c r="K8" s="28" t="n">
        <x:v>45636</x:v>
      </x:c>
      <x:c r="L8" s="32" t="n">
        <x:v>1</x:v>
      </x:c>
      <x:c r="M8" t="str">
        <x:v>batch</x:v>
      </x:c>
      <x:c r="N8" s="30" t="n">
        <x:v>115.08</x:v>
      </x:c>
      <x:c r="O8" s="30" t="n">
        <x:v>0</x:v>
      </x:c>
      <x:c r="P8" s="30" t="n">
        <x:f>L8*N8+O8</x:f>
        <x:v>115.08</x:v>
      </x:c>
      <x:c r="Q8" s="32" t="n">
        <x:f>J8-I8</x:f>
        <x:v>12</x:v>
      </x:c>
      <x:c r="R8" s="32" t="n">
        <x:f>IF(K8="","",K8-I8)</x:f>
        <x:v>12</x:v>
      </x:c>
      <x:c r="S8" s="32" t="n">
        <x:f>IF(K8="","",MAX(0,K8-J8))</x:f>
        <x:v>0</x:v>
      </x:c>
      <x:c r="T8" t="str">
        <x:f>IF(K8="","PENDING",IF(K8&lt;=J8,"ON_TIME","LATE"))</x:f>
        <x:v>ON_TIME</x:v>
      </x:c>
      <x:c r="U8" t="str">
        <x:v>ACCEPTED</x:v>
      </x:c>
      <x:c r="V8" t="str">
        <x:v>MEDIUM</x:v>
      </x:c>
      <x:c r="W8" t="str">
        <x:v>SUP-04</x:v>
      </x:c>
      <x:c r="X8" t="str">
        <x:v>Institutional catalog</x:v>
      </x:c>
      <x:c r="Y8" t="str">
        <x:v>Routine replenishment</x:v>
      </x:c>
      <x:c r="Z8" s="9" t="str">
        <x:v>SYNTHETIC_DEMO</x:v>
      </x:c>
    </x:row>
    <x:row r="9">
      <x:c r="A9" t="str">
        <x:v>SIM-UA-0008</x:v>
      </x:c>
      <x:c r="B9" t="str">
        <x:v>Smartphone optical readout</x:v>
      </x:c>
      <x:c r="C9" t="str">
        <x:v>IMG-005</x:v>
      </x:c>
      <x:c r="D9" t="str">
        <x:v>3D printed phone holder</x:v>
      </x:c>
      <x:c r="E9" t="str">
        <x:v>Custom FDM bracket, PLA/PETG, per batch</x:v>
      </x:c>
      <x:c r="F9" t="str">
        <x:v>Prototype hardware</x:v>
      </x:c>
      <x:c r="G9" t="str">
        <x:v>SUP-04</x:v>
      </x:c>
      <x:c r="H9" t="str">
        <x:v>Canyon Microfabrication</x:v>
      </x:c>
      <x:c r="I9" s="28" t="n">
        <x:v>45625</x:v>
      </x:c>
      <x:c r="J9" s="28" t="n">
        <x:v>45634</x:v>
      </x:c>
      <x:c r="K9" s="28" t="n">
        <x:v>45634</x:v>
      </x:c>
      <x:c r="L9" s="32" t="n">
        <x:v>1</x:v>
      </x:c>
      <x:c r="M9" t="str">
        <x:v>batch</x:v>
      </x:c>
      <x:c r="N9" s="30" t="n">
        <x:v>88.92</x:v>
      </x:c>
      <x:c r="O9" s="30" t="n">
        <x:v>0</x:v>
      </x:c>
      <x:c r="P9" s="30" t="n">
        <x:f>L9*N9+O9</x:f>
        <x:v>88.92</x:v>
      </x:c>
      <x:c r="Q9" s="32" t="n">
        <x:f>J9-I9</x:f>
        <x:v>9</x:v>
      </x:c>
      <x:c r="R9" s="32" t="n">
        <x:f>IF(K9="","",K9-I9)</x:f>
        <x:v>9</x:v>
      </x:c>
      <x:c r="S9" s="32" t="n">
        <x:f>IF(K9="","",MAX(0,K9-J9))</x:f>
        <x:v>0</x:v>
      </x:c>
      <x:c r="T9" t="str">
        <x:f>IF(K9="","PENDING",IF(K9&lt;=J9,"ON_TIME","LATE"))</x:f>
        <x:v>ON_TIME</x:v>
      </x:c>
      <x:c r="U9" t="str">
        <x:v>ACCEPTED</x:v>
      </x:c>
      <x:c r="V9" t="str">
        <x:v>MEDIUM</x:v>
      </x:c>
      <x:c r="W9" t="str">
        <x:v>SUP-08</x:v>
      </x:c>
      <x:c r="X9" t="str">
        <x:v>Quote-to-PO</x:v>
      </x:c>
      <x:c r="Y9" t="str">
        <x:v>Routine replenishment</x:v>
      </x:c>
      <x:c r="Z9" s="9" t="str">
        <x:v>SYNTHETIC_DEMO</x:v>
      </x:c>
    </x:row>
    <x:row r="10">
      <x:c r="A10" t="str">
        <x:v>SIM-UA-0009</x:v>
      </x:c>
      <x:c r="B10" t="str">
        <x:v>IMCD kidney-on-a-chip</x:v>
      </x:c>
      <x:c r="C10" t="str">
        <x:v>OOC-015</x:v>
      </x:c>
      <x:c r="D10" t="str">
        <x:v>Syringe filters</x:v>
      </x:c>
      <x:c r="E10" t="str">
        <x:v>0.22 µm, sterile, 50/pack</x:v>
      </x:c>
      <x:c r="F10" t="str">
        <x:v>Cell culture</x:v>
      </x:c>
      <x:c r="G10" t="str">
        <x:v>SUP-02</x:v>
      </x:c>
      <x:c r="H10" t="str">
        <x:v>Desert BioReagents</x:v>
      </x:c>
      <x:c r="I10" s="28" t="n">
        <x:v>45626</x:v>
      </x:c>
      <x:c r="J10" s="28" t="n">
        <x:v>45635</x:v>
      </x:c>
      <x:c r="K10" s="28" t="n">
        <x:v>45635</x:v>
      </x:c>
      <x:c r="L10" s="32" t="n">
        <x:v>1</x:v>
      </x:c>
      <x:c r="M10" t="str">
        <x:v>pack</x:v>
      </x:c>
      <x:c r="N10" s="30" t="n">
        <x:v>85.91</x:v>
      </x:c>
      <x:c r="O10" s="30" t="n">
        <x:v>0</x:v>
      </x:c>
      <x:c r="P10" s="30" t="n">
        <x:f>L10*N10+O10</x:f>
        <x:v>85.91</x:v>
      </x:c>
      <x:c r="Q10" s="32" t="n">
        <x:f>J10-I10</x:f>
        <x:v>9</x:v>
      </x:c>
      <x:c r="R10" s="32" t="n">
        <x:f>IF(K10="","",K10-I10)</x:f>
        <x:v>9</x:v>
      </x:c>
      <x:c r="S10" s="32" t="n">
        <x:f>IF(K10="","",MAX(0,K10-J10))</x:f>
        <x:v>0</x:v>
      </x:c>
      <x:c r="T10" t="str">
        <x:f>IF(K10="","PENDING",IF(K10&lt;=J10,"ON_TIME","LATE"))</x:f>
        <x:v>ON_TIME</x:v>
      </x:c>
      <x:c r="U10" t="str">
        <x:v>ACCEPTED</x:v>
      </x:c>
      <x:c r="V10" t="str">
        <x:v>MEDIUM</x:v>
      </x:c>
      <x:c r="W10" t="str">
        <x:v>SUP-01</x:v>
      </x:c>
      <x:c r="X10" t="str">
        <x:v>Vendor web</x:v>
      </x:c>
      <x:c r="Y10" t="str">
        <x:v>Routine replenishment</x:v>
      </x:c>
      <x:c r="Z10" s="9" t="str">
        <x:v>SYNTHETIC_DEMO</x:v>
      </x:c>
    </x:row>
    <x:row r="11">
      <x:c r="A11" t="str">
        <x:v>SIM-UA-0010</x:v>
      </x:c>
      <x:c r="B11" t="str">
        <x:v>Smartphone optical readout</x:v>
      </x:c>
      <x:c r="C11" t="str">
        <x:v>IMG-001</x:v>
      </x:c>
      <x:c r="D11" t="str">
        <x:v>USB ring LED module</x:v>
      </x:c>
      <x:c r="E11" t="str">
        <x:v>Adjustable white LED, USB-powered</x:v>
      </x:c>
      <x:c r="F11" t="str">
        <x:v>Optics &amp; electronics</x:v>
      </x:c>
      <x:c r="G11" t="str">
        <x:v>SUP-07</x:v>
      </x:c>
      <x:c r="H11" t="str">
        <x:v>RapidLab Alternate Source</x:v>
      </x:c>
      <x:c r="I11" s="28" t="n">
        <x:v>45626</x:v>
      </x:c>
      <x:c r="J11" s="28" t="n">
        <x:v>45630</x:v>
      </x:c>
      <x:c r="K11" s="28" t="n">
        <x:v>45630</x:v>
      </x:c>
      <x:c r="L11" s="32" t="n">
        <x:v>1</x:v>
      </x:c>
      <x:c r="M11" t="str">
        <x:v>unit</x:v>
      </x:c>
      <x:c r="N11" s="30" t="n">
        <x:v>34.62</x:v>
      </x:c>
      <x:c r="O11" s="30" t="n">
        <x:v>8.5</x:v>
      </x:c>
      <x:c r="P11" s="30" t="n">
        <x:f>L11*N11+O11</x:f>
        <x:v>43.12</x:v>
      </x:c>
      <x:c r="Q11" s="32" t="n">
        <x:f>J11-I11</x:f>
        <x:v>4</x:v>
      </x:c>
      <x:c r="R11" s="32" t="n">
        <x:f>IF(K11="","",K11-I11)</x:f>
        <x:v>4</x:v>
      </x:c>
      <x:c r="S11" s="32" t="n">
        <x:f>IF(K11="","",MAX(0,K11-J11))</x:f>
        <x:v>0</x:v>
      </x:c>
      <x:c r="T11" t="str">
        <x:f>IF(K11="","PENDING",IF(K11&lt;=J11,"ON_TIME","LATE"))</x:f>
        <x:v>ON_TIME</x:v>
      </x:c>
      <x:c r="U11" t="str">
        <x:v>ACCEPTED</x:v>
      </x:c>
      <x:c r="V11" t="str">
        <x:v>MEDIUM</x:v>
      </x:c>
      <x:c r="W11" t="str">
        <x:v>SUP-06</x:v>
      </x:c>
      <x:c r="X11" t="str">
        <x:v>Vendor web</x:v>
      </x:c>
      <x:c r="Y11" t="str">
        <x:v>Routine replenishment</x:v>
      </x:c>
      <x:c r="Z11" s="9" t="str">
        <x:v>SYNTHETIC_DEMO</x:v>
      </x:c>
    </x:row>
    <x:row r="12">
      <x:c r="A12" t="str">
        <x:v>SIM-UA-0011</x:v>
      </x:c>
      <x:c r="B12" t="str">
        <x:v>IMCD kidney-on-a-chip</x:v>
      </x:c>
      <x:c r="C12" t="str">
        <x:v>OOC-003</x:v>
      </x:c>
      <x:c r="D12" t="str">
        <x:v>Microscope glass slides</x:v>
      </x:c>
      <x:c r="E12" t="str">
        <x:v>75 × 25 mm, 72/box</x:v>
      </x:c>
      <x:c r="F12" t="str">
        <x:v>Chip fabrication</x:v>
      </x:c>
      <x:c r="G12" t="str">
        <x:v>SUP-01</x:v>
      </x:c>
      <x:c r="H12" t="str">
        <x:v>Sonoran Scientific Supply</x:v>
      </x:c>
      <x:c r="I12" s="28" t="n">
        <x:v>45628</x:v>
      </x:c>
      <x:c r="J12" s="28" t="n">
        <x:v>45636</x:v>
      </x:c>
      <x:c r="K12" s="28" t="n">
        <x:v>45635</x:v>
      </x:c>
      <x:c r="L12" s="32" t="n">
        <x:v>2</x:v>
      </x:c>
      <x:c r="M12" t="str">
        <x:v>box</x:v>
      </x:c>
      <x:c r="N12" s="30" t="n">
        <x:v>36.29</x:v>
      </x:c>
      <x:c r="O12" s="30" t="n">
        <x:v>15</x:v>
      </x:c>
      <x:c r="P12" s="30" t="n">
        <x:f>L12*N12+O12</x:f>
        <x:v>87.58</x:v>
      </x:c>
      <x:c r="Q12" s="32" t="n">
        <x:f>J12-I12</x:f>
        <x:v>8</x:v>
      </x:c>
      <x:c r="R12" s="32" t="n">
        <x:f>IF(K12="","",K12-I12)</x:f>
        <x:v>7</x:v>
      </x:c>
      <x:c r="S12" s="32" t="n">
        <x:f>IF(K12="","",MAX(0,K12-J12))</x:f>
        <x:v>0</x:v>
      </x:c>
      <x:c r="T12" t="str">
        <x:f>IF(K12="","PENDING",IF(K12&lt;=J12,"ON_TIME","LATE"))</x:f>
        <x:v>ON_TIME</x:v>
      </x:c>
      <x:c r="U12" t="str">
        <x:v>ACCEPTED</x:v>
      </x:c>
      <x:c r="V12" t="str">
        <x:v>MEDIUM</x:v>
      </x:c>
      <x:c r="W12" t="str">
        <x:v>SUP-04</x:v>
      </x:c>
      <x:c r="X12" t="str">
        <x:v>Institutional catalog</x:v>
      </x:c>
      <x:c r="Y12" t="str">
        <x:v>Routine replenishment</x:v>
      </x:c>
      <x:c r="Z12" s="9" t="str">
        <x:v>SYNTHETIC_DEMO</x:v>
      </x:c>
    </x:row>
    <x:row r="13">
      <x:c r="A13" t="str">
        <x:v>SIM-UA-0012</x:v>
      </x:c>
      <x:c r="B13" t="str">
        <x:v>IMCD kidney-on-a-chip</x:v>
      </x:c>
      <x:c r="C13" t="str">
        <x:v>OOC-001</x:v>
      </x:c>
      <x:c r="D13" t="str">
        <x:v>PDMS elastomer kit</x:v>
      </x:c>
      <x:c r="E13" t="str">
        <x:v>2-part silicone elastomer, approx. 1 kg</x:v>
      </x:c>
      <x:c r="F13" t="str">
        <x:v>Chip fabrication</x:v>
      </x:c>
      <x:c r="G13" t="str">
        <x:v>SUP-04</x:v>
      </x:c>
      <x:c r="H13" t="str">
        <x:v>Canyon Microfabrication</x:v>
      </x:c>
      <x:c r="I13" s="28" t="n">
        <x:v>45628</x:v>
      </x:c>
      <x:c r="J13" s="28" t="n">
        <x:v>45641</x:v>
      </x:c>
      <x:c r="K13" s="28" t="n">
        <x:v>45639</x:v>
      </x:c>
      <x:c r="L13" s="32" t="n">
        <x:v>1</x:v>
      </x:c>
      <x:c r="M13" t="str">
        <x:v>kit</x:v>
      </x:c>
      <x:c r="N13" s="30" t="n">
        <x:v>223.78</x:v>
      </x:c>
      <x:c r="O13" s="30" t="n">
        <x:v>18</x:v>
      </x:c>
      <x:c r="P13" s="30" t="n">
        <x:f>L13*N13+O13</x:f>
        <x:v>241.78</x:v>
      </x:c>
      <x:c r="Q13" s="32" t="n">
        <x:f>J13-I13</x:f>
        <x:v>13</x:v>
      </x:c>
      <x:c r="R13" s="32" t="n">
        <x:f>IF(K13="","",K13-I13)</x:f>
        <x:v>11</x:v>
      </x:c>
      <x:c r="S13" s="32" t="n">
        <x:f>IF(K13="","",MAX(0,K13-J13))</x:f>
        <x:v>0</x:v>
      </x:c>
      <x:c r="T13" t="str">
        <x:f>IF(K13="","PENDING",IF(K13&lt;=J13,"ON_TIME","LATE"))</x:f>
        <x:v>ON_TIME</x:v>
      </x:c>
      <x:c r="U13" t="str">
        <x:v>ACCEPTED</x:v>
      </x:c>
      <x:c r="V13" t="str">
        <x:v>HIGH</x:v>
      </x:c>
      <x:c r="W13" t="str">
        <x:v>SUP-07</x:v>
      </x:c>
      <x:c r="X13" t="str">
        <x:v>Quote-to-PO</x:v>
      </x:c>
      <x:c r="Y13" t="str">
        <x:v>Experiment schedule-driven reorder</x:v>
      </x:c>
      <x:c r="Z13" s="9" t="str">
        <x:v>SYNTHETIC_DEMO</x:v>
      </x:c>
    </x:row>
    <x:row r="14">
      <x:c r="A14" t="str">
        <x:v>SIM-UA-0013</x:v>
      </x:c>
      <x:c r="B14" t="str">
        <x:v>IMCD kidney-on-a-chip</x:v>
      </x:c>
      <x:c r="C14" t="str">
        <x:v>OOC-009</x:v>
      </x:c>
      <x:c r="D14" t="str">
        <x:v>DMEM/F-12 medium</x:v>
      </x:c>
      <x:c r="E14" t="str">
        <x:v>500 mL, sterile cell culture medium</x:v>
      </x:c>
      <x:c r="F14" t="str">
        <x:v>Cell culture</x:v>
      </x:c>
      <x:c r="G14" t="str">
        <x:v>SUP-02</x:v>
      </x:c>
      <x:c r="H14" t="str">
        <x:v>Desert BioReagents</x:v>
      </x:c>
      <x:c r="I14" s="28" t="n">
        <x:v>45630</x:v>
      </x:c>
      <x:c r="J14" s="28" t="n">
        <x:v>45636</x:v>
      </x:c>
      <x:c r="K14" s="28" t="n">
        <x:v>45636</x:v>
      </x:c>
      <x:c r="L14" s="32" t="n">
        <x:v>3</x:v>
      </x:c>
      <x:c r="M14" t="str">
        <x:v>bottle</x:v>
      </x:c>
      <x:c r="N14" s="30" t="n">
        <x:v>47.86</x:v>
      </x:c>
      <x:c r="O14" s="30" t="n">
        <x:v>18</x:v>
      </x:c>
      <x:c r="P14" s="30" t="n">
        <x:f>L14*N14+O14</x:f>
        <x:v>161.57999999999998</x:v>
      </x:c>
      <x:c r="Q14" s="32" t="n">
        <x:f>J14-I14</x:f>
        <x:v>6</x:v>
      </x:c>
      <x:c r="R14" s="32" t="n">
        <x:f>IF(K14="","",K14-I14)</x:f>
        <x:v>6</x:v>
      </x:c>
      <x:c r="S14" s="32" t="n">
        <x:f>IF(K14="","",MAX(0,K14-J14))</x:f>
        <x:v>0</x:v>
      </x:c>
      <x:c r="T14" t="str">
        <x:f>IF(K14="","PENDING",IF(K14&lt;=J14,"ON_TIME","LATE"))</x:f>
        <x:v>ON_TIME</x:v>
      </x:c>
      <x:c r="U14" t="str">
        <x:v>ACCEPTED</x:v>
      </x:c>
      <x:c r="V14" t="str">
        <x:v>HIGH</x:v>
      </x:c>
      <x:c r="W14" t="str">
        <x:v>SUP-01</x:v>
      </x:c>
      <x:c r="X14" t="str">
        <x:v>Institutional catalog</x:v>
      </x:c>
      <x:c r="Y14" t="str">
        <x:v>Routine replenishment</x:v>
      </x:c>
      <x:c r="Z14" s="9" t="str">
        <x:v>SYNTHETIC_DEMO</x:v>
      </x:c>
    </x:row>
    <x:row r="15">
      <x:c r="A15" t="str">
        <x:v>SIM-UA-0014</x:v>
      </x:c>
      <x:c r="B15" t="str">
        <x:v>Paper microfluidics (SALSA)</x:v>
      </x:c>
      <x:c r="C15" t="str">
        <x:v>PAP-001</x:v>
      </x:c>
      <x:c r="D15" t="str">
        <x:v>Cellulose filter paper</x:v>
      </x:c>
      <x:c r="E15" t="str">
        <x:v>Grade 1, 100 sheets</x:v>
      </x:c>
      <x:c r="F15" t="str">
        <x:v>Paper &amp; membrane</x:v>
      </x:c>
      <x:c r="G15" t="str">
        <x:v>SUP-07</x:v>
      </x:c>
      <x:c r="H15" t="str">
        <x:v>RapidLab Alternate Source</x:v>
      </x:c>
      <x:c r="I15" s="28" t="n">
        <x:v>45631</x:v>
      </x:c>
      <x:c r="J15" s="28" t="n">
        <x:v>45633</x:v>
      </x:c>
      <x:c r="K15" s="28" t="n">
        <x:v>45633</x:v>
      </x:c>
      <x:c r="L15" s="32" t="n">
        <x:v>3</x:v>
      </x:c>
      <x:c r="M15" t="str">
        <x:v>pack</x:v>
      </x:c>
      <x:c r="N15" s="30" t="n">
        <x:v>49.47</x:v>
      </x:c>
      <x:c r="O15" s="30" t="n">
        <x:v>12</x:v>
      </x:c>
      <x:c r="P15" s="30" t="n">
        <x:f>L15*N15+O15</x:f>
        <x:v>160.41</x:v>
      </x:c>
      <x:c r="Q15" s="32" t="n">
        <x:f>J15-I15</x:f>
        <x:v>2</x:v>
      </x:c>
      <x:c r="R15" s="32" t="n">
        <x:f>IF(K15="","",K15-I15)</x:f>
        <x:v>2</x:v>
      </x:c>
      <x:c r="S15" s="32" t="n">
        <x:f>IF(K15="","",MAX(0,K15-J15))</x:f>
        <x:v>0</x:v>
      </x:c>
      <x:c r="T15" t="str">
        <x:f>IF(K15="","PENDING",IF(K15&lt;=J15,"ON_TIME","LATE"))</x:f>
        <x:v>ON_TIME</x:v>
      </x:c>
      <x:c r="U15" t="str">
        <x:v>ACCEPTED</x:v>
      </x:c>
      <x:c r="V15" t="str">
        <x:v>MEDIUM</x:v>
      </x:c>
      <x:c r="W15" t="str">
        <x:v>SUP-03</x:v>
      </x:c>
      <x:c r="X15" t="str">
        <x:v>Quote-to-PO</x:v>
      </x:c>
      <x:c r="Y15" t="str">
        <x:v>Routine replenishment</x:v>
      </x:c>
      <x:c r="Z15" s="9" t="str">
        <x:v>SYNTHETIC_DEMO</x:v>
      </x:c>
    </x:row>
    <x:row r="16">
      <x:c r="A16" t="str">
        <x:v>SIM-UA-0015</x:v>
      </x:c>
      <x:c r="B16" t="str">
        <x:v>IMCD kidney-on-a-chip</x:v>
      </x:c>
      <x:c r="C16" t="str">
        <x:v>OOC-011</x:v>
      </x:c>
      <x:c r="D16" t="str">
        <x:v>Penicillin-streptomycin</x:v>
      </x:c>
      <x:c r="E16" t="str">
        <x:v>100 mL, 100x solution</x:v>
      </x:c>
      <x:c r="F16" t="str">
        <x:v>Cell culture</x:v>
      </x:c>
      <x:c r="G16" t="str">
        <x:v>SUP-02</x:v>
      </x:c>
      <x:c r="H16" t="str">
        <x:v>Desert BioReagents</x:v>
      </x:c>
      <x:c r="I16" s="28" t="n">
        <x:v>45631</x:v>
      </x:c>
      <x:c r="J16" s="28" t="n">
        <x:v>45639</x:v>
      </x:c>
      <x:c r="K16" s="28" t="n">
        <x:v>45639</x:v>
      </x:c>
      <x:c r="L16" s="32" t="n">
        <x:v>1</x:v>
      </x:c>
      <x:c r="M16" t="str">
        <x:v>bottle</x:v>
      </x:c>
      <x:c r="N16" s="30" t="n">
        <x:v>40.39</x:v>
      </x:c>
      <x:c r="O16" s="30" t="n">
        <x:v>8.5</x:v>
      </x:c>
      <x:c r="P16" s="30" t="n">
        <x:f>L16*N16+O16</x:f>
        <x:v>48.89</x:v>
      </x:c>
      <x:c r="Q16" s="32" t="n">
        <x:f>J16-I16</x:f>
        <x:v>8</x:v>
      </x:c>
      <x:c r="R16" s="32" t="n">
        <x:f>IF(K16="","",K16-I16)</x:f>
        <x:v>8</x:v>
      </x:c>
      <x:c r="S16" s="32" t="n">
        <x:f>IF(K16="","",MAX(0,K16-J16))</x:f>
        <x:v>0</x:v>
      </x:c>
      <x:c r="T16" t="str">
        <x:f>IF(K16="","PENDING",IF(K16&lt;=J16,"ON_TIME","LATE"))</x:f>
        <x:v>ON_TIME</x:v>
      </x:c>
      <x:c r="U16" t="str">
        <x:v>ACCEPTED</x:v>
      </x:c>
      <x:c r="V16" t="str">
        <x:v>MEDIUM</x:v>
      </x:c>
      <x:c r="W16" t="str">
        <x:v>SUP-01</x:v>
      </x:c>
      <x:c r="X16" t="str">
        <x:v>Institutional catalog</x:v>
      </x:c>
      <x:c r="Y16" t="str">
        <x:v>Experiment schedule-driven reorder</x:v>
      </x:c>
      <x:c r="Z16" s="9" t="str">
        <x:v>SYNTHETIC_DEMO</x:v>
      </x:c>
    </x:row>
    <x:row r="17">
      <x:c r="A17" t="str">
        <x:v>SIM-UA-0016</x:v>
      </x:c>
      <x:c r="B17" t="str">
        <x:v>Paper microfluidics (SALSA)</x:v>
      </x:c>
      <x:c r="C17" t="str">
        <x:v>PAP-001</x:v>
      </x:c>
      <x:c r="D17" t="str">
        <x:v>Cellulose filter paper</x:v>
      </x:c>
      <x:c r="E17" t="str">
        <x:v>Grade 1, 100 sheets</x:v>
      </x:c>
      <x:c r="F17" t="str">
        <x:v>Paper &amp; membrane</x:v>
      </x:c>
      <x:c r="G17" t="str">
        <x:v>SUP-03</x:v>
      </x:c>
      <x:c r="H17" t="str">
        <x:v>Catalina Paper &amp; Membrane</x:v>
      </x:c>
      <x:c r="I17" s="28" t="n">
        <x:v>45632</x:v>
      </x:c>
      <x:c r="J17" s="28" t="n">
        <x:v>45639</x:v>
      </x:c>
      <x:c r="K17" s="28" t="n">
        <x:v>45638</x:v>
      </x:c>
      <x:c r="L17" s="32" t="n">
        <x:v>3</x:v>
      </x:c>
      <x:c r="M17" t="str">
        <x:v>pack</x:v>
      </x:c>
      <x:c r="N17" s="30" t="n">
        <x:v>45.37</x:v>
      </x:c>
      <x:c r="O17" s="30" t="n">
        <x:v>0</x:v>
      </x:c>
      <x:c r="P17" s="30" t="n">
        <x:f>L17*N17+O17</x:f>
        <x:v>136.10999999999999</x:v>
      </x:c>
      <x:c r="Q17" s="32" t="n">
        <x:f>J17-I17</x:f>
        <x:v>7</x:v>
      </x:c>
      <x:c r="R17" s="32" t="n">
        <x:f>IF(K17="","",K17-I17)</x:f>
        <x:v>6</x:v>
      </x:c>
      <x:c r="S17" s="32" t="n">
        <x:f>IF(K17="","",MAX(0,K17-J17))</x:f>
        <x:v>0</x:v>
      </x:c>
      <x:c r="T17" t="str">
        <x:f>IF(K17="","PENDING",IF(K17&lt;=J17,"ON_TIME","LATE"))</x:f>
        <x:v>ON_TIME</x:v>
      </x:c>
      <x:c r="U17" t="str">
        <x:v>ACCEPTED</x:v>
      </x:c>
      <x:c r="V17" t="str">
        <x:v>MEDIUM</x:v>
      </x:c>
      <x:c r="W17" t="str">
        <x:v>SUP-01</x:v>
      </x:c>
      <x:c r="X17" t="str">
        <x:v>Vendor web</x:v>
      </x:c>
      <x:c r="Y17" t="str">
        <x:v>Routine replenishment</x:v>
      </x:c>
      <x:c r="Z17" s="9" t="str">
        <x:v>SYNTHETIC_DEMO</x:v>
      </x:c>
    </x:row>
    <x:row r="18">
      <x:c r="A18" t="str">
        <x:v>SIM-UA-0017</x:v>
      </x:c>
      <x:c r="B18" t="str">
        <x:v>Paper microfluidics (SALSA)</x:v>
      </x:c>
      <x:c r="C18" t="str">
        <x:v>PAP-011</x:v>
      </x:c>
      <x:c r="D18" t="str">
        <x:v>Microcentrifuge tubes</x:v>
      </x:c>
      <x:c r="E18" t="str">
        <x:v>1.5 mL, 500/pack</x:v>
      </x:c>
      <x:c r="F18" t="str">
        <x:v>Assay reagents</x:v>
      </x:c>
      <x:c r="G18" t="str">
        <x:v>SUP-01</x:v>
      </x:c>
      <x:c r="H18" t="str">
        <x:v>Sonoran Scientific Supply</x:v>
      </x:c>
      <x:c r="I18" s="28" t="n">
        <x:v>45633</x:v>
      </x:c>
      <x:c r="J18" s="28" t="n">
        <x:v>45638</x:v>
      </x:c>
      <x:c r="K18" s="28" t="n">
        <x:v>45638</x:v>
      </x:c>
      <x:c r="L18" s="32" t="n">
        <x:v>1</x:v>
      </x:c>
      <x:c r="M18" t="str">
        <x:v>pack</x:v>
      </x:c>
      <x:c r="N18" s="30" t="n">
        <x:v>37.79</x:v>
      </x:c>
      <x:c r="O18" s="30" t="n">
        <x:v>15</x:v>
      </x:c>
      <x:c r="P18" s="30" t="n">
        <x:f>L18*N18+O18</x:f>
        <x:v>52.79</x:v>
      </x:c>
      <x:c r="Q18" s="32" t="n">
        <x:f>J18-I18</x:f>
        <x:v>5</x:v>
      </x:c>
      <x:c r="R18" s="32" t="n">
        <x:f>IF(K18="","",K18-I18)</x:f>
        <x:v>5</x:v>
      </x:c>
      <x:c r="S18" s="32" t="n">
        <x:f>IF(K18="","",MAX(0,K18-J18))</x:f>
        <x:v>0</x:v>
      </x:c>
      <x:c r="T18" t="str">
        <x:f>IF(K18="","PENDING",IF(K18&lt;=J18,"ON_TIME","LATE"))</x:f>
        <x:v>ON_TIME</x:v>
      </x:c>
      <x:c r="U18" t="str">
        <x:v>ACCEPTED</x:v>
      </x:c>
      <x:c r="V18" t="str">
        <x:v>LOW</x:v>
      </x:c>
      <x:c r="W18" t="str">
        <x:v>SUP-07</x:v>
      </x:c>
      <x:c r="X18" t="str">
        <x:v>Vendor web</x:v>
      </x:c>
      <x:c r="Y18" t="str">
        <x:v>Prototype iteration demand</x:v>
      </x:c>
      <x:c r="Z18" s="9" t="str">
        <x:v>SYNTHETIC_DEMO</x:v>
      </x:c>
    </x:row>
    <x:row r="19">
      <x:c r="A19" t="str">
        <x:v>SIM-UA-0018</x:v>
      </x:c>
      <x:c r="B19" t="str">
        <x:v>IMCD kidney-on-a-chip</x:v>
      </x:c>
      <x:c r="C19" t="str">
        <x:v>OOC-012</x:v>
      </x:c>
      <x:c r="D19" t="str">
        <x:v>Trypsin-EDTA</x:v>
      </x:c>
      <x:c r="E19" t="str">
        <x:v>100 mL, cell dissociation</x:v>
      </x:c>
      <x:c r="F19" t="str">
        <x:v>Cell culture</x:v>
      </x:c>
      <x:c r="G19" t="str">
        <x:v>SUP-02</x:v>
      </x:c>
      <x:c r="H19" t="str">
        <x:v>Desert BioReagents</x:v>
      </x:c>
      <x:c r="I19" s="28" t="n">
        <x:v>45634</x:v>
      </x:c>
      <x:c r="J19" s="28" t="n">
        <x:v>45637</x:v>
      </x:c>
      <x:c r="K19" s="28" t="n">
        <x:v>45637</x:v>
      </x:c>
      <x:c r="L19" s="32" t="n">
        <x:v>1</x:v>
      </x:c>
      <x:c r="M19" t="str">
        <x:v>bottle</x:v>
      </x:c>
      <x:c r="N19" s="30" t="n">
        <x:v>37.59</x:v>
      </x:c>
      <x:c r="O19" s="30" t="n">
        <x:v>29</x:v>
      </x:c>
      <x:c r="P19" s="30" t="n">
        <x:f>L19*N19+O19</x:f>
        <x:v>66.59</x:v>
      </x:c>
      <x:c r="Q19" s="32" t="n">
        <x:f>J19-I19</x:f>
        <x:v>3</x:v>
      </x:c>
      <x:c r="R19" s="32" t="n">
        <x:f>IF(K19="","",K19-I19)</x:f>
        <x:v>3</x:v>
      </x:c>
      <x:c r="S19" s="32" t="n">
        <x:f>IF(K19="","",MAX(0,K19-J19))</x:f>
        <x:v>0</x:v>
      </x:c>
      <x:c r="T19" t="str">
        <x:f>IF(K19="","PENDING",IF(K19&lt;=J19,"ON_TIME","LATE"))</x:f>
        <x:v>ON_TIME</x:v>
      </x:c>
      <x:c r="U19" t="str">
        <x:v>ACCEPTED</x:v>
      </x:c>
      <x:c r="V19" t="str">
        <x:v>MEDIUM</x:v>
      </x:c>
      <x:c r="W19" t="str">
        <x:v>SUP-01</x:v>
      </x:c>
      <x:c r="X19" t="str">
        <x:v>Vendor web</x:v>
      </x:c>
      <x:c r="Y19" t="str">
        <x:v>Routine replenishment</x:v>
      </x:c>
      <x:c r="Z19" s="9" t="str">
        <x:v>SYNTHETIC_DEMO</x:v>
      </x:c>
    </x:row>
    <x:row r="20">
      <x:c r="A20" t="str">
        <x:v>SIM-UA-0019</x:v>
      </x:c>
      <x:c r="B20" t="str">
        <x:v>Paper microfluidics (SALSA)</x:v>
      </x:c>
      <x:c r="C20" t="str">
        <x:v>PAP-002</x:v>
      </x:c>
      <x:c r="D20" t="str">
        <x:v>Chromatography paper</x:v>
      </x:c>
      <x:c r="E20" t="str">
        <x:v>Grade 1 CHR, 100 sheets</x:v>
      </x:c>
      <x:c r="F20" t="str">
        <x:v>Paper &amp; membrane</x:v>
      </x:c>
      <x:c r="G20" t="str">
        <x:v>SUP-03</x:v>
      </x:c>
      <x:c r="H20" t="str">
        <x:v>Catalina Paper &amp; Membrane</x:v>
      </x:c>
      <x:c r="I20" s="28" t="n">
        <x:v>45634</x:v>
      </x:c>
      <x:c r="J20" s="28" t="n">
        <x:v>45642</x:v>
      </x:c>
      <x:c r="K20" s="28" t="n">
        <x:v>45642</x:v>
      </x:c>
      <x:c r="L20" s="32" t="n">
        <x:v>1</x:v>
      </x:c>
      <x:c r="M20" t="str">
        <x:v>pack</x:v>
      </x:c>
      <x:c r="N20" s="30" t="n">
        <x:v>80.91</x:v>
      </x:c>
      <x:c r="O20" s="30" t="n">
        <x:v>8.5</x:v>
      </x:c>
      <x:c r="P20" s="30" t="n">
        <x:f>L20*N20+O20</x:f>
        <x:v>89.41</x:v>
      </x:c>
      <x:c r="Q20" s="32" t="n">
        <x:f>J20-I20</x:f>
        <x:v>8</x:v>
      </x:c>
      <x:c r="R20" s="32" t="n">
        <x:f>IF(K20="","",K20-I20)</x:f>
        <x:v>8</x:v>
      </x:c>
      <x:c r="S20" s="32" t="n">
        <x:f>IF(K20="","",MAX(0,K20-J20))</x:f>
        <x:v>0</x:v>
      </x:c>
      <x:c r="T20" t="str">
        <x:f>IF(K20="","PENDING",IF(K20&lt;=J20,"ON_TIME","LATE"))</x:f>
        <x:v>ON_TIME</x:v>
      </x:c>
      <x:c r="U20" t="str">
        <x:v>ACCEPTED</x:v>
      </x:c>
      <x:c r="V20" t="str">
        <x:v>MEDIUM</x:v>
      </x:c>
      <x:c r="W20" t="str">
        <x:v>SUP-01</x:v>
      </x:c>
      <x:c r="X20" t="str">
        <x:v>Vendor web</x:v>
      </x:c>
      <x:c r="Y20" t="str">
        <x:v>Prototype iteration demand</x:v>
      </x:c>
      <x:c r="Z20" s="9" t="str">
        <x:v>SYNTHETIC_DEMO</x:v>
      </x:c>
    </x:row>
    <x:row r="21">
      <x:c r="A21" t="str">
        <x:v>SIM-UA-0020</x:v>
      </x:c>
      <x:c r="B21" t="str">
        <x:v>IMCD kidney-on-a-chip</x:v>
      </x:c>
      <x:c r="C21" t="str">
        <x:v>OOC-008</x:v>
      </x:c>
      <x:c r="D21" t="str">
        <x:v>Flow restrictors and valves</x:v>
      </x:c>
      <x:c r="E21" t="str">
        <x:v>Small-bore fluidic assortment</x:v>
      </x:c>
      <x:c r="F21" t="str">
        <x:v>Fluidics hardware</x:v>
      </x:c>
      <x:c r="G21" t="str">
        <x:v>SUP-05</x:v>
      </x:c>
      <x:c r="H21" t="str">
        <x:v>Tucson Fluidics Components</x:v>
      </x:c>
      <x:c r="I21" s="28" t="n">
        <x:v>45635</x:v>
      </x:c>
      <x:c r="J21" s="28" t="n">
        <x:v>45645</x:v>
      </x:c>
      <x:c r="K21" s="28" t="n">
        <x:v>45645</x:v>
      </x:c>
      <x:c r="L21" s="32" t="n">
        <x:v>1</x:v>
      </x:c>
      <x:c r="M21" t="str">
        <x:v>set</x:v>
      </x:c>
      <x:c r="N21" s="30" t="n">
        <x:v>144.52</x:v>
      </x:c>
      <x:c r="O21" s="30" t="n">
        <x:v>0</x:v>
      </x:c>
      <x:c r="P21" s="30" t="n">
        <x:f>L21*N21+O21</x:f>
        <x:v>144.52</x:v>
      </x:c>
      <x:c r="Q21" s="32" t="n">
        <x:f>J21-I21</x:f>
        <x:v>10</x:v>
      </x:c>
      <x:c r="R21" s="32" t="n">
        <x:f>IF(K21="","",K21-I21)</x:f>
        <x:v>10</x:v>
      </x:c>
      <x:c r="S21" s="32" t="n">
        <x:f>IF(K21="","",MAX(0,K21-J21))</x:f>
        <x:v>0</x:v>
      </x:c>
      <x:c r="T21" t="str">
        <x:f>IF(K21="","PENDING",IF(K21&lt;=J21,"ON_TIME","LATE"))</x:f>
        <x:v>ON_TIME</x:v>
      </x:c>
      <x:c r="U21" t="str">
        <x:v>ACCEPTED</x:v>
      </x:c>
      <x:c r="V21" t="str">
        <x:v>HIGH</x:v>
      </x:c>
      <x:c r="W21" t="str">
        <x:v>SUP-04</x:v>
      </x:c>
      <x:c r="X21" t="str">
        <x:v>Quote-to-PO</x:v>
      </x:c>
      <x:c r="Y21" t="str">
        <x:v>Prototype iteration demand</x:v>
      </x:c>
      <x:c r="Z21" s="9" t="str">
        <x:v>SYNTHETIC_DEMO</x:v>
      </x:c>
    </x:row>
    <x:row r="22">
      <x:c r="A22" t="str">
        <x:v>SIM-UA-0021</x:v>
      </x:c>
      <x:c r="B22" t="str">
        <x:v>IMCD kidney-on-a-chip</x:v>
      </x:c>
      <x:c r="C22" t="str">
        <x:v>OOC-003</x:v>
      </x:c>
      <x:c r="D22" t="str">
        <x:v>Microscope glass slides</x:v>
      </x:c>
      <x:c r="E22" t="str">
        <x:v>75 × 25 mm, 72/box</x:v>
      </x:c>
      <x:c r="F22" t="str">
        <x:v>Chip fabrication</x:v>
      </x:c>
      <x:c r="G22" t="str">
        <x:v>SUP-04</x:v>
      </x:c>
      <x:c r="H22" t="str">
        <x:v>Canyon Microfabrication</x:v>
      </x:c>
      <x:c r="I22" s="28" t="n">
        <x:v>45637</x:v>
      </x:c>
      <x:c r="J22" s="28" t="n">
        <x:v>45649</x:v>
      </x:c>
      <x:c r="K22" s="28" t="n">
        <x:v>45648</x:v>
      </x:c>
      <x:c r="L22" s="32" t="n">
        <x:v>1</x:v>
      </x:c>
      <x:c r="M22" t="str">
        <x:v>box</x:v>
      </x:c>
      <x:c r="N22" s="30" t="n">
        <x:v>33.97</x:v>
      </x:c>
      <x:c r="O22" s="30" t="n">
        <x:v>18</x:v>
      </x:c>
      <x:c r="P22" s="30" t="n">
        <x:f>L22*N22+O22</x:f>
        <x:v>51.97</x:v>
      </x:c>
      <x:c r="Q22" s="32" t="n">
        <x:f>J22-I22</x:f>
        <x:v>12</x:v>
      </x:c>
      <x:c r="R22" s="32" t="n">
        <x:f>IF(K22="","",K22-I22)</x:f>
        <x:v>11</x:v>
      </x:c>
      <x:c r="S22" s="32" t="n">
        <x:f>IF(K22="","",MAX(0,K22-J22))</x:f>
        <x:v>0</x:v>
      </x:c>
      <x:c r="T22" t="str">
        <x:f>IF(K22="","PENDING",IF(K22&lt;=J22,"ON_TIME","LATE"))</x:f>
        <x:v>ON_TIME</x:v>
      </x:c>
      <x:c r="U22" t="str">
        <x:v>ACCEPTED</x:v>
      </x:c>
      <x:c r="V22" t="str">
        <x:v>MEDIUM</x:v>
      </x:c>
      <x:c r="W22" t="str">
        <x:v>SUP-01</x:v>
      </x:c>
      <x:c r="X22" t="str">
        <x:v>Institutional catalog</x:v>
      </x:c>
      <x:c r="Y22" t="str">
        <x:v>Routine replenishment</x:v>
      </x:c>
      <x:c r="Z22" s="9" t="str">
        <x:v>SYNTHETIC_DEMO</x:v>
      </x:c>
    </x:row>
    <x:row r="23">
      <x:c r="A23" t="str">
        <x:v>SIM-UA-0022</x:v>
      </x:c>
      <x:c r="B23" t="str">
        <x:v>Smartphone optical readout</x:v>
      </x:c>
      <x:c r="C23" t="str">
        <x:v>IMG-007</x:v>
      </x:c>
      <x:c r="D23" t="str">
        <x:v>Acrylic laser-cut frame</x:v>
      </x:c>
      <x:c r="E23" t="str">
        <x:v>Custom microfluidic imaging frame</x:v>
      </x:c>
      <x:c r="F23" t="str">
        <x:v>Prototype hardware</x:v>
      </x:c>
      <x:c r="G23" t="str">
        <x:v>SUP-08</x:v>
      </x:c>
      <x:c r="H23" t="str">
        <x:v>Precision Prototype Services</x:v>
      </x:c>
      <x:c r="I23" s="28" t="n">
        <x:v>45637</x:v>
      </x:c>
      <x:c r="J23" s="28" t="n">
        <x:v>45651</x:v>
      </x:c>
      <x:c r="K23" s="28" t="n">
        <x:v>45651</x:v>
      </x:c>
      <x:c r="L23" s="32" t="n">
        <x:v>3</x:v>
      </x:c>
      <x:c r="M23" t="str">
        <x:v>batch</x:v>
      </x:c>
      <x:c r="N23" s="30" t="n">
        <x:v>121.77</x:v>
      </x:c>
      <x:c r="O23" s="30" t="n">
        <x:v>0</x:v>
      </x:c>
      <x:c r="P23" s="30" t="n">
        <x:f>L23*N23+O23</x:f>
        <x:v>365.31</x:v>
      </x:c>
      <x:c r="Q23" s="32" t="n">
        <x:f>J23-I23</x:f>
        <x:v>14</x:v>
      </x:c>
      <x:c r="R23" s="32" t="n">
        <x:f>IF(K23="","",K23-I23)</x:f>
        <x:v>14</x:v>
      </x:c>
      <x:c r="S23" s="32" t="n">
        <x:f>IF(K23="","",MAX(0,K23-J23))</x:f>
        <x:v>0</x:v>
      </x:c>
      <x:c r="T23" t="str">
        <x:f>IF(K23="","PENDING",IF(K23&lt;=J23,"ON_TIME","LATE"))</x:f>
        <x:v>ON_TIME</x:v>
      </x:c>
      <x:c r="U23" t="str">
        <x:v>ACCEPTED</x:v>
      </x:c>
      <x:c r="V23" t="str">
        <x:v>MEDIUM</x:v>
      </x:c>
      <x:c r="W23" t="str">
        <x:v>SUP-04</x:v>
      </x:c>
      <x:c r="X23" t="str">
        <x:v>Institutional catalog</x:v>
      </x:c>
      <x:c r="Y23" t="str">
        <x:v>Routine replenishment</x:v>
      </x:c>
      <x:c r="Z23" s="9" t="str">
        <x:v>SYNTHETIC_DEMO</x:v>
      </x:c>
    </x:row>
    <x:row r="24">
      <x:c r="A24" t="str">
        <x:v>SIM-UA-0023</x:v>
      </x:c>
      <x:c r="B24" t="str">
        <x:v>Paper microfluidics (SALSA)</x:v>
      </x:c>
      <x:c r="C24" t="str">
        <x:v>PAP-002</x:v>
      </x:c>
      <x:c r="D24" t="str">
        <x:v>Chromatography paper</x:v>
      </x:c>
      <x:c r="E24" t="str">
        <x:v>Grade 1 CHR, 100 sheets</x:v>
      </x:c>
      <x:c r="F24" t="str">
        <x:v>Paper &amp; membrane</x:v>
      </x:c>
      <x:c r="G24" t="str">
        <x:v>SUP-07</x:v>
      </x:c>
      <x:c r="H24" t="str">
        <x:v>RapidLab Alternate Source</x:v>
      </x:c>
      <x:c r="I24" s="28" t="n">
        <x:v>45640</x:v>
      </x:c>
      <x:c r="J24" s="28" t="n">
        <x:v>45647</x:v>
      </x:c>
      <x:c r="K24" s="28" t="n">
        <x:v>45645</x:v>
      </x:c>
      <x:c r="L24" s="32" t="n">
        <x:v>1</x:v>
      </x:c>
      <x:c r="M24" t="str">
        <x:v>pack</x:v>
      </x:c>
      <x:c r="N24" s="30" t="n">
        <x:v>80.58</x:v>
      </x:c>
      <x:c r="O24" s="30" t="n">
        <x:v>12</x:v>
      </x:c>
      <x:c r="P24" s="30" t="n">
        <x:f>L24*N24+O24</x:f>
        <x:v>92.58</x:v>
      </x:c>
      <x:c r="Q24" s="32" t="n">
        <x:f>J24-I24</x:f>
        <x:v>7</x:v>
      </x:c>
      <x:c r="R24" s="32" t="n">
        <x:f>IF(K24="","",K24-I24)</x:f>
        <x:v>5</x:v>
      </x:c>
      <x:c r="S24" s="32" t="n">
        <x:f>IF(K24="","",MAX(0,K24-J24))</x:f>
        <x:v>0</x:v>
      </x:c>
      <x:c r="T24" t="str">
        <x:f>IF(K24="","PENDING",IF(K24&lt;=J24,"ON_TIME","LATE"))</x:f>
        <x:v>ON_TIME</x:v>
      </x:c>
      <x:c r="U24" t="str">
        <x:v>ACCEPTED</x:v>
      </x:c>
      <x:c r="V24" t="str">
        <x:v>MEDIUM</x:v>
      </x:c>
      <x:c r="W24" t="str">
        <x:v>SUP-03</x:v>
      </x:c>
      <x:c r="X24" t="str">
        <x:v>Vendor web</x:v>
      </x:c>
      <x:c r="Y24" t="str">
        <x:v>Prototype iteration demand</x:v>
      </x:c>
      <x:c r="Z24" s="9" t="str">
        <x:v>SYNTHETIC_DEMO</x:v>
      </x:c>
    </x:row>
    <x:row r="25">
      <x:c r="A25" t="str">
        <x:v>SIM-UA-0024</x:v>
      </x:c>
      <x:c r="B25" t="str">
        <x:v>Paper microfluidics (SALSA)</x:v>
      </x:c>
      <x:c r="C25" t="str">
        <x:v>PAP-003</x:v>
      </x:c>
      <x:c r="D25" t="str">
        <x:v>Nitrocellulose membrane</x:v>
      </x:c>
      <x:c r="E25" t="str">
        <x:v>0.45 µm, sheets, 25/pack</x:v>
      </x:c>
      <x:c r="F25" t="str">
        <x:v>Paper &amp; membrane</x:v>
      </x:c>
      <x:c r="G25" t="str">
        <x:v>SUP-07</x:v>
      </x:c>
      <x:c r="H25" t="str">
        <x:v>RapidLab Alternate Source</x:v>
      </x:c>
      <x:c r="I25" s="28" t="n">
        <x:v>45641</x:v>
      </x:c>
      <x:c r="J25" s="28" t="n">
        <x:v>45648</x:v>
      </x:c>
      <x:c r="K25" s="28" t="n">
        <x:v>45650</x:v>
      </x:c>
      <x:c r="L25" s="32" t="n">
        <x:v>1</x:v>
      </x:c>
      <x:c r="M25" t="str">
        <x:v>pack</x:v>
      </x:c>
      <x:c r="N25" s="30" t="n">
        <x:v>142.91</x:v>
      </x:c>
      <x:c r="O25" s="30" t="n">
        <x:v>0</x:v>
      </x:c>
      <x:c r="P25" s="30" t="n">
        <x:f>L25*N25+O25</x:f>
        <x:v>142.91</x:v>
      </x:c>
      <x:c r="Q25" s="32" t="n">
        <x:f>J25-I25</x:f>
        <x:v>7</x:v>
      </x:c>
      <x:c r="R25" s="32" t="n">
        <x:f>IF(K25="","",K25-I25)</x:f>
        <x:v>9</x:v>
      </x:c>
      <x:c r="S25" s="32" t="n">
        <x:f>IF(K25="","",MAX(0,K25-J25))</x:f>
        <x:v>2</x:v>
      </x:c>
      <x:c r="T25" t="str">
        <x:f>IF(K25="","PENDING",IF(K25&lt;=J25,"ON_TIME","LATE"))</x:f>
        <x:v>LATE</x:v>
      </x:c>
      <x:c r="U25" t="str">
        <x:v>HOLD</x:v>
      </x:c>
      <x:c r="V25" t="str">
        <x:v>HIGH</x:v>
      </x:c>
      <x:c r="W25" t="str">
        <x:v>SUP-03</x:v>
      </x:c>
      <x:c r="X25" t="str">
        <x:v>Institutional catalog</x:v>
      </x:c>
      <x:c r="Y25" t="str"/>
      <x:c r="Z25" s="9" t="str">
        <x:v>SYNTHETIC_DEMO</x:v>
      </x:c>
    </x:row>
    <x:row r="26">
      <x:c r="A26" t="str">
        <x:v>SIM-UA-0025</x:v>
      </x:c>
      <x:c r="B26" t="str">
        <x:v>Smartphone optical readout</x:v>
      </x:c>
      <x:c r="C26" t="str">
        <x:v>IMG-007</x:v>
      </x:c>
      <x:c r="D26" t="str">
        <x:v>Acrylic laser-cut frame</x:v>
      </x:c>
      <x:c r="E26" t="str">
        <x:v>Custom microfluidic imaging frame</x:v>
      </x:c>
      <x:c r="F26" t="str">
        <x:v>Prototype hardware</x:v>
      </x:c>
      <x:c r="G26" t="str">
        <x:v>SUP-04</x:v>
      </x:c>
      <x:c r="H26" t="str">
        <x:v>Canyon Microfabrication</x:v>
      </x:c>
      <x:c r="I26" s="28" t="n">
        <x:v>45641</x:v>
      </x:c>
      <x:c r="J26" s="28" t="n">
        <x:v>45655</x:v>
      </x:c>
      <x:c r="K26" s="28" t="n">
        <x:v>45655</x:v>
      </x:c>
      <x:c r="L26" s="32" t="n">
        <x:v>3</x:v>
      </x:c>
      <x:c r="M26" t="str">
        <x:v>batch</x:v>
      </x:c>
      <x:c r="N26" s="30" t="n">
        <x:v>119.77</x:v>
      </x:c>
      <x:c r="O26" s="30" t="n">
        <x:v>0</x:v>
      </x:c>
      <x:c r="P26" s="30" t="n">
        <x:f>L26*N26+O26</x:f>
        <x:v>359.31</x:v>
      </x:c>
      <x:c r="Q26" s="32" t="n">
        <x:f>J26-I26</x:f>
        <x:v>14</x:v>
      </x:c>
      <x:c r="R26" s="32" t="n">
        <x:f>IF(K26="","",K26-I26)</x:f>
        <x:v>14</x:v>
      </x:c>
      <x:c r="S26" s="32" t="n">
        <x:f>IF(K26="","",MAX(0,K26-J26))</x:f>
        <x:v>0</x:v>
      </x:c>
      <x:c r="T26" t="str">
        <x:f>IF(K26="","PENDING",IF(K26&lt;=J26,"ON_TIME","LATE"))</x:f>
        <x:v>ON_TIME</x:v>
      </x:c>
      <x:c r="U26" t="str">
        <x:v>ACCEPTED</x:v>
      </x:c>
      <x:c r="V26" t="str">
        <x:v>MEDIUM</x:v>
      </x:c>
      <x:c r="W26" t="str">
        <x:v>SUP-08</x:v>
      </x:c>
      <x:c r="X26" t="str">
        <x:v>Institutional catalog</x:v>
      </x:c>
      <x:c r="Y26" t="str">
        <x:v>Routine replenishment</x:v>
      </x:c>
      <x:c r="Z26" s="9" t="str">
        <x:v>SYNTHETIC_DEMO</x:v>
      </x:c>
    </x:row>
    <x:row r="27">
      <x:c r="A27" t="str">
        <x:v>SIM-UA-0026</x:v>
      </x:c>
      <x:c r="B27" t="str">
        <x:v>IMCD kidney-on-a-chip</x:v>
      </x:c>
      <x:c r="C27" t="str">
        <x:v>OOC-012</x:v>
      </x:c>
      <x:c r="D27" t="str">
        <x:v>Trypsin-EDTA</x:v>
      </x:c>
      <x:c r="E27" t="str">
        <x:v>100 mL, cell dissociation</x:v>
      </x:c>
      <x:c r="F27" t="str">
        <x:v>Cell culture</x:v>
      </x:c>
      <x:c r="G27" t="str">
        <x:v>SUP-01</x:v>
      </x:c>
      <x:c r="H27" t="str">
        <x:v>Sonoran Scientific Supply</x:v>
      </x:c>
      <x:c r="I27" s="28" t="n">
        <x:v>45642</x:v>
      </x:c>
      <x:c r="J27" s="28" t="n">
        <x:v>45652</x:v>
      </x:c>
      <x:c r="K27" s="28" t="n">
        <x:v>45652</x:v>
      </x:c>
      <x:c r="L27" s="32" t="n">
        <x:v>1</x:v>
      </x:c>
      <x:c r="M27" t="str">
        <x:v>bottle</x:v>
      </x:c>
      <x:c r="N27" s="30" t="n">
        <x:v>38.48</x:v>
      </x:c>
      <x:c r="O27" s="30" t="n">
        <x:v>8.5</x:v>
      </x:c>
      <x:c r="P27" s="30" t="n">
        <x:f>L27*N27+O27</x:f>
        <x:v>46.98</x:v>
      </x:c>
      <x:c r="Q27" s="32" t="n">
        <x:f>J27-I27</x:f>
        <x:v>10</x:v>
      </x:c>
      <x:c r="R27" s="32" t="n">
        <x:f>IF(K27="","",K27-I27)</x:f>
        <x:v>10</x:v>
      </x:c>
      <x:c r="S27" s="32" t="n">
        <x:f>IF(K27="","",MAX(0,K27-J27))</x:f>
        <x:v>0</x:v>
      </x:c>
      <x:c r="T27" t="str">
        <x:f>IF(K27="","PENDING",IF(K27&lt;=J27,"ON_TIME","LATE"))</x:f>
        <x:v>ON_TIME</x:v>
      </x:c>
      <x:c r="U27" t="str">
        <x:v>ACCEPTED</x:v>
      </x:c>
      <x:c r="V27" t="str">
        <x:v>MEDIUM</x:v>
      </x:c>
      <x:c r="W27" t="str">
        <x:v>SUP-02</x:v>
      </x:c>
      <x:c r="X27" t="str">
        <x:v>Vendor web</x:v>
      </x:c>
      <x:c r="Y27" t="str">
        <x:v>Prototype iteration demand</x:v>
      </x:c>
      <x:c r="Z27" s="9" t="str">
        <x:v>SYNTHETIC_DEMO</x:v>
      </x:c>
    </x:row>
    <x:row r="28">
      <x:c r="A28" t="str">
        <x:v>SIM-UA-0027</x:v>
      </x:c>
      <x:c r="B28" t="str">
        <x:v>IMCD kidney-on-a-chip</x:v>
      </x:c>
      <x:c r="C28" t="str">
        <x:v>OOC-016</x:v>
      </x:c>
      <x:c r="D28" t="str">
        <x:v>Nitrile laboratory gloves</x:v>
      </x:c>
      <x:c r="E28" t="str">
        <x:v>Size M, powder-free, 100/box</x:v>
      </x:c>
      <x:c r="F28" t="str">
        <x:v>Cell culture</x:v>
      </x:c>
      <x:c r="G28" t="str">
        <x:v>SUP-07</x:v>
      </x:c>
      <x:c r="H28" t="str">
        <x:v>RapidLab Alternate Source</x:v>
      </x:c>
      <x:c r="I28" s="28" t="n">
        <x:v>45643</x:v>
      </x:c>
      <x:c r="J28" s="28" t="n">
        <x:v>45650</x:v>
      </x:c>
      <x:c r="K28" s="28" t="n">
        <x:v>45650</x:v>
      </x:c>
      <x:c r="L28" s="32" t="n">
        <x:v>3</x:v>
      </x:c>
      <x:c r="M28" t="str">
        <x:v>box</x:v>
      </x:c>
      <x:c r="N28" s="30" t="n">
        <x:v>21.99</x:v>
      </x:c>
      <x:c r="O28" s="30" t="n">
        <x:v>29</x:v>
      </x:c>
      <x:c r="P28" s="30" t="n">
        <x:f>L28*N28+O28</x:f>
        <x:v>94.97</x:v>
      </x:c>
      <x:c r="Q28" s="32" t="n">
        <x:f>J28-I28</x:f>
        <x:v>7</x:v>
      </x:c>
      <x:c r="R28" s="32" t="n">
        <x:f>IF(K28="","",K28-I28)</x:f>
        <x:v>7</x:v>
      </x:c>
      <x:c r="S28" s="32" t="n">
        <x:f>IF(K28="","",MAX(0,K28-J28))</x:f>
        <x:v>0</x:v>
      </x:c>
      <x:c r="T28" t="str">
        <x:f>IF(K28="","PENDING",IF(K28&lt;=J28,"ON_TIME","LATE"))</x:f>
        <x:v>ON_TIME</x:v>
      </x:c>
      <x:c r="U28" t="str">
        <x:v>ACCEPTED</x:v>
      </x:c>
      <x:c r="V28" t="str">
        <x:v>LOW</x:v>
      </x:c>
      <x:c r="W28" t="str">
        <x:v>SUP-01</x:v>
      </x:c>
      <x:c r="X28" t="str">
        <x:v>Vendor web</x:v>
      </x:c>
      <x:c r="Y28" t="str"/>
      <x:c r="Z28" s="9" t="str">
        <x:v>SYNTHETIC_DEMO</x:v>
      </x:c>
    </x:row>
    <x:row r="29">
      <x:c r="A29" t="str">
        <x:v>SIM-UA-0028</x:v>
      </x:c>
      <x:c r="B29" t="str">
        <x:v>IMCD kidney-on-a-chip</x:v>
      </x:c>
      <x:c r="C29" t="str">
        <x:v>OOC-004</x:v>
      </x:c>
      <x:c r="D29" t="str">
        <x:v>Glass cover slips</x:v>
      </x:c>
      <x:c r="E29" t="str">
        <x:v>No. 1.5, 100/pack</x:v>
      </x:c>
      <x:c r="F29" t="str">
        <x:v>Chip fabrication</x:v>
      </x:c>
      <x:c r="G29" t="str">
        <x:v>SUP-01</x:v>
      </x:c>
      <x:c r="H29" t="str">
        <x:v>Sonoran Scientific Supply</x:v>
      </x:c>
      <x:c r="I29" s="28" t="n">
        <x:v>45644</x:v>
      </x:c>
      <x:c r="J29" s="28" t="n">
        <x:v>45653</x:v>
      </x:c>
      <x:c r="K29" s="28" t="n">
        <x:v>45653</x:v>
      </x:c>
      <x:c r="L29" s="32" t="n">
        <x:v>1</x:v>
      </x:c>
      <x:c r="M29" t="str">
        <x:v>pack</x:v>
      </x:c>
      <x:c r="N29" s="30" t="n">
        <x:v>48.71</x:v>
      </x:c>
      <x:c r="O29" s="30" t="n">
        <x:v>8.5</x:v>
      </x:c>
      <x:c r="P29" s="30" t="n">
        <x:f>L29*N29+O29</x:f>
        <x:v>57.21</x:v>
      </x:c>
      <x:c r="Q29" s="32" t="n">
        <x:f>J29-I29</x:f>
        <x:v>9</x:v>
      </x:c>
      <x:c r="R29" s="32" t="n">
        <x:f>IF(K29="","",K29-I29)</x:f>
        <x:v>9</x:v>
      </x:c>
      <x:c r="S29" s="32" t="n">
        <x:f>IF(K29="","",MAX(0,K29-J29))</x:f>
        <x:v>0</x:v>
      </x:c>
      <x:c r="T29" t="str">
        <x:f>IF(K29="","PENDING",IF(K29&lt;=J29,"ON_TIME","LATE"))</x:f>
        <x:v>ON_TIME</x:v>
      </x:c>
      <x:c r="U29" t="str">
        <x:v>ACCEPTED</x:v>
      </x:c>
      <x:c r="V29" t="str">
        <x:v>MEDIUM</x:v>
      </x:c>
      <x:c r="W29" t="str">
        <x:v>SUP-04</x:v>
      </x:c>
      <x:c r="X29" t="str">
        <x:v>Vendor web</x:v>
      </x:c>
      <x:c r="Y29" t="str"/>
      <x:c r="Z29" s="9" t="str">
        <x:v>SYNTHETIC_DEMO</x:v>
      </x:c>
    </x:row>
    <x:row r="30">
      <x:c r="A30" t="str">
        <x:v>SIM-UA-0029</x:v>
      </x:c>
      <x:c r="B30" t="str">
        <x:v>IMCD kidney-on-a-chip</x:v>
      </x:c>
      <x:c r="C30" t="str">
        <x:v>OOC-005</x:v>
      </x:c>
      <x:c r="D30" t="str">
        <x:v>Silicone microbore tubing</x:v>
      </x:c>
      <x:c r="E30" t="str">
        <x:v>1/16 in ID, 10 m</x:v>
      </x:c>
      <x:c r="F30" t="str">
        <x:v>Fluidics hardware</x:v>
      </x:c>
      <x:c r="G30" t="str">
        <x:v>SUP-05</x:v>
      </x:c>
      <x:c r="H30" t="str">
        <x:v>Tucson Fluidics Components</x:v>
      </x:c>
      <x:c r="I30" s="28" t="n">
        <x:v>45647</x:v>
      </x:c>
      <x:c r="J30" s="28" t="n">
        <x:v>45656</x:v>
      </x:c>
      <x:c r="K30" s="28" t="n">
        <x:v>45655</x:v>
      </x:c>
      <x:c r="L30" s="32" t="n">
        <x:v>1</x:v>
      </x:c>
      <x:c r="M30" t="str">
        <x:v>roll</x:v>
      </x:c>
      <x:c r="N30" s="30" t="n">
        <x:v>112.17</x:v>
      </x:c>
      <x:c r="O30" s="30" t="n">
        <x:v>29</x:v>
      </x:c>
      <x:c r="P30" s="30" t="n">
        <x:f>L30*N30+O30</x:f>
        <x:v>141.17000000000002</x:v>
      </x:c>
      <x:c r="Q30" s="32" t="n">
        <x:f>J30-I30</x:f>
        <x:v>9</x:v>
      </x:c>
      <x:c r="R30" s="32" t="n">
        <x:f>IF(K30="","",K30-I30)</x:f>
        <x:v>8</x:v>
      </x:c>
      <x:c r="S30" s="32" t="n">
        <x:f>IF(K30="","",MAX(0,K30-J30))</x:f>
        <x:v>0</x:v>
      </x:c>
      <x:c r="T30" t="str">
        <x:f>IF(K30="","PENDING",IF(K30&lt;=J30,"ON_TIME","LATE"))</x:f>
        <x:v>ON_TIME</x:v>
      </x:c>
      <x:c r="U30" t="str">
        <x:v>ACCEPTED</x:v>
      </x:c>
      <x:c r="V30" t="str">
        <x:v>HIGH</x:v>
      </x:c>
      <x:c r="W30" t="str">
        <x:v>SUP-04</x:v>
      </x:c>
      <x:c r="X30" t="str">
        <x:v>Institutional catalog</x:v>
      </x:c>
      <x:c r="Y30" t="str">
        <x:v>Routine replenishment</x:v>
      </x:c>
      <x:c r="Z30" s="9" t="str">
        <x:v>SYNTHETIC_DEMO</x:v>
      </x:c>
    </x:row>
    <x:row r="31">
      <x:c r="A31" t="str">
        <x:v>SIM-UA-0030</x:v>
      </x:c>
      <x:c r="B31" t="str">
        <x:v>Paper microfluidics (SALSA)</x:v>
      </x:c>
      <x:c r="C31" t="str">
        <x:v>PAP-008</x:v>
      </x:c>
      <x:c r="D31" t="str">
        <x:v>Bovine serum albumin</x:v>
      </x:c>
      <x:c r="E31" t="str">
        <x:v>BSA, 100 g, analytical grade</x:v>
      </x:c>
      <x:c r="F31" t="str">
        <x:v>Assay reagents</x:v>
      </x:c>
      <x:c r="G31" t="str">
        <x:v>SUP-01</x:v>
      </x:c>
      <x:c r="H31" t="str">
        <x:v>Sonoran Scientific Supply</x:v>
      </x:c>
      <x:c r="I31" s="28" t="n">
        <x:v>45650</x:v>
      </x:c>
      <x:c r="J31" s="28" t="n">
        <x:v>45657</x:v>
      </x:c>
      <x:c r="K31" s="28" t="n">
        <x:v>45657</x:v>
      </x:c>
      <x:c r="L31" s="32" t="n">
        <x:v>1</x:v>
      </x:c>
      <x:c r="M31" t="str">
        <x:v>bottle</x:v>
      </x:c>
      <x:c r="N31" s="30" t="n">
        <x:v>132.06</x:v>
      </x:c>
      <x:c r="O31" s="30" t="n">
        <x:v>15</x:v>
      </x:c>
      <x:c r="P31" s="30" t="n">
        <x:f>L31*N31+O31</x:f>
        <x:v>147.06</x:v>
      </x:c>
      <x:c r="Q31" s="32" t="n">
        <x:f>J31-I31</x:f>
        <x:v>7</x:v>
      </x:c>
      <x:c r="R31" s="32" t="n">
        <x:f>IF(K31="","",K31-I31)</x:f>
        <x:v>7</x:v>
      </x:c>
      <x:c r="S31" s="32" t="n">
        <x:f>IF(K31="","",MAX(0,K31-J31))</x:f>
        <x:v>0</x:v>
      </x:c>
      <x:c r="T31" t="str">
        <x:f>IF(K31="","PENDING",IF(K31&lt;=J31,"ON_TIME","LATE"))</x:f>
        <x:v>ON_TIME</x:v>
      </x:c>
      <x:c r="U31" t="str">
        <x:v>ACCEPTED</x:v>
      </x:c>
      <x:c r="V31" t="str">
        <x:v>MEDIUM</x:v>
      </x:c>
      <x:c r="W31" t="str">
        <x:v>SUP-02</x:v>
      </x:c>
      <x:c r="X31" t="str">
        <x:v>Vendor web</x:v>
      </x:c>
      <x:c r="Y31" t="str">
        <x:v>Prototype iteration demand</x:v>
      </x:c>
      <x:c r="Z31" s="9" t="str">
        <x:v>SYNTHETIC_DEMO</x:v>
      </x:c>
    </x:row>
    <x:row r="32">
      <x:c r="A32" t="str">
        <x:v>SIM-UA-0031</x:v>
      </x:c>
      <x:c r="B32" t="str">
        <x:v>Paper microfluidics (SALSA)</x:v>
      </x:c>
      <x:c r="C32" t="str">
        <x:v>PAP-008</x:v>
      </x:c>
      <x:c r="D32" t="str">
        <x:v>Bovine serum albumin</x:v>
      </x:c>
      <x:c r="E32" t="str">
        <x:v>BSA, 100 g, analytical grade</x:v>
      </x:c>
      <x:c r="F32" t="str">
        <x:v>Assay reagents</x:v>
      </x:c>
      <x:c r="G32" t="str">
        <x:v>SUP-01</x:v>
      </x:c>
      <x:c r="H32" t="str">
        <x:v>Sonoran Scientific Supply</x:v>
      </x:c>
      <x:c r="I32" s="28" t="n">
        <x:v>45653</x:v>
      </x:c>
      <x:c r="J32" s="28" t="n">
        <x:v>45657</x:v>
      </x:c>
      <x:c r="K32" s="28" t="n">
        <x:v>45655</x:v>
      </x:c>
      <x:c r="L32" s="32" t="n">
        <x:v>1</x:v>
      </x:c>
      <x:c r="M32" t="str">
        <x:v>bottle</x:v>
      </x:c>
      <x:c r="N32" s="30" t="n">
        <x:v>126.31</x:v>
      </x:c>
      <x:c r="O32" s="30" t="n">
        <x:v>18</x:v>
      </x:c>
      <x:c r="P32" s="30" t="n">
        <x:f>L32*N32+O32</x:f>
        <x:v>144.31</x:v>
      </x:c>
      <x:c r="Q32" s="32" t="n">
        <x:f>J32-I32</x:f>
        <x:v>4</x:v>
      </x:c>
      <x:c r="R32" s="32" t="n">
        <x:f>IF(K32="","",K32-I32)</x:f>
        <x:v>2</x:v>
      </x:c>
      <x:c r="S32" s="32" t="n">
        <x:f>IF(K32="","",MAX(0,K32-J32))</x:f>
        <x:v>0</x:v>
      </x:c>
      <x:c r="T32" t="str">
        <x:f>IF(K32="","PENDING",IF(K32&lt;=J32,"ON_TIME","LATE"))</x:f>
        <x:v>ON_TIME</x:v>
      </x:c>
      <x:c r="U32" t="str">
        <x:v>ACCEPTED</x:v>
      </x:c>
      <x:c r="V32" t="str">
        <x:v>MEDIUM</x:v>
      </x:c>
      <x:c r="W32" t="str">
        <x:v>SUP-02</x:v>
      </x:c>
      <x:c r="X32" t="str">
        <x:v>Vendor web</x:v>
      </x:c>
      <x:c r="Y32" t="str">
        <x:v>Experiment schedule-driven reorder</x:v>
      </x:c>
      <x:c r="Z32" s="9" t="str">
        <x:v>SYNTHETIC_DEMO</x:v>
      </x:c>
    </x:row>
    <x:row r="33">
      <x:c r="A33" t="str">
        <x:v>SIM-UA-0032</x:v>
      </x:c>
      <x:c r="B33" t="str">
        <x:v>Paper microfluidics (SALSA)</x:v>
      </x:c>
      <x:c r="C33" t="str">
        <x:v>PAP-004</x:v>
      </x:c>
      <x:c r="D33" t="str">
        <x:v>Wax printing consumables</x:v>
      </x:c>
      <x:c r="E33" t="str">
        <x:v>Hydrophobic barrier patterning consumables</x:v>
      </x:c>
      <x:c r="F33" t="str">
        <x:v>Paper &amp; membrane</x:v>
      </x:c>
      <x:c r="G33" t="str">
        <x:v>SUP-07</x:v>
      </x:c>
      <x:c r="H33" t="str">
        <x:v>RapidLab Alternate Source</x:v>
      </x:c>
      <x:c r="I33" s="28" t="n">
        <x:v>45655</x:v>
      </x:c>
      <x:c r="J33" s="28" t="n">
        <x:v>45659</x:v>
      </x:c>
      <x:c r="K33" s="28" t="n">
        <x:v>45659</x:v>
      </x:c>
      <x:c r="L33" s="32" t="n">
        <x:v>2</x:v>
      </x:c>
      <x:c r="M33" t="str">
        <x:v>set</x:v>
      </x:c>
      <x:c r="N33" s="30" t="n">
        <x:v>81.57</x:v>
      </x:c>
      <x:c r="O33" s="30" t="n">
        <x:v>12</x:v>
      </x:c>
      <x:c r="P33" s="30" t="n">
        <x:f>L33*N33+O33</x:f>
        <x:v>175.14</x:v>
      </x:c>
      <x:c r="Q33" s="32" t="n">
        <x:f>J33-I33</x:f>
        <x:v>4</x:v>
      </x:c>
      <x:c r="R33" s="32" t="n">
        <x:f>IF(K33="","",K33-I33)</x:f>
        <x:v>4</x:v>
      </x:c>
      <x:c r="S33" s="32" t="n">
        <x:f>IF(K33="","",MAX(0,K33-J33))</x:f>
        <x:v>0</x:v>
      </x:c>
      <x:c r="T33" t="str">
        <x:f>IF(K33="","PENDING",IF(K33&lt;=J33,"ON_TIME","LATE"))</x:f>
        <x:v>ON_TIME</x:v>
      </x:c>
      <x:c r="U33" t="str">
        <x:v>ACCEPTED</x:v>
      </x:c>
      <x:c r="V33" t="str">
        <x:v>MEDIUM</x:v>
      </x:c>
      <x:c r="W33" t="str">
        <x:v>SUP-03</x:v>
      </x:c>
      <x:c r="X33" t="str">
        <x:v>Vendor web</x:v>
      </x:c>
      <x:c r="Y33" t="str">
        <x:v>Prototype iteration demand</x:v>
      </x:c>
      <x:c r="Z33" s="9" t="str">
        <x:v>SYNTHETIC_DEMO</x:v>
      </x:c>
    </x:row>
    <x:row r="34">
      <x:c r="A34" t="str">
        <x:v>SIM-UA-0033</x:v>
      </x:c>
      <x:c r="B34" t="str">
        <x:v>IMCD kidney-on-a-chip</x:v>
      </x:c>
      <x:c r="C34" t="str">
        <x:v>OOC-010</x:v>
      </x:c>
      <x:c r="D34" t="str">
        <x:v>Fetal bovine serum</x:v>
      </x:c>
      <x:c r="E34" t="str">
        <x:v>500 mL, cell culture grade</x:v>
      </x:c>
      <x:c r="F34" t="str">
        <x:v>Cell culture</x:v>
      </x:c>
      <x:c r="G34" t="str">
        <x:v>SUP-02</x:v>
      </x:c>
      <x:c r="H34" t="str">
        <x:v>Desert BioReagents</x:v>
      </x:c>
      <x:c r="I34" s="28" t="n">
        <x:v>45655</x:v>
      </x:c>
      <x:c r="J34" s="28" t="n">
        <x:v>45663</x:v>
      </x:c>
      <x:c r="K34" s="28" t="n">
        <x:v>45664</x:v>
      </x:c>
      <x:c r="L34" s="32" t="n">
        <x:v>1</x:v>
      </x:c>
      <x:c r="M34" t="str">
        <x:v>bottle</x:v>
      </x:c>
      <x:c r="N34" s="30" t="n">
        <x:v>440.6</x:v>
      </x:c>
      <x:c r="O34" s="30" t="n">
        <x:v>15</x:v>
      </x:c>
      <x:c r="P34" s="30" t="n">
        <x:f>L34*N34+O34</x:f>
        <x:v>455.6</x:v>
      </x:c>
      <x:c r="Q34" s="32" t="n">
        <x:f>J34-I34</x:f>
        <x:v>8</x:v>
      </x:c>
      <x:c r="R34" s="32" t="n">
        <x:f>IF(K34="","",K34-I34)</x:f>
        <x:v>9</x:v>
      </x:c>
      <x:c r="S34" s="32" t="n">
        <x:f>IF(K34="","",MAX(0,K34-J34))</x:f>
        <x:v>1</x:v>
      </x:c>
      <x:c r="T34" t="str">
        <x:f>IF(K34="","PENDING",IF(K34&lt;=J34,"ON_TIME","LATE"))</x:f>
        <x:v>LATE</x:v>
      </x:c>
      <x:c r="U34" t="str">
        <x:v>ACCEPTED</x:v>
      </x:c>
      <x:c r="V34" t="str">
        <x:v>HIGH</x:v>
      </x:c>
      <x:c r="W34" t="str">
        <x:v>SUP-01</x:v>
      </x:c>
      <x:c r="X34" t="str">
        <x:v>Quote-to-PO</x:v>
      </x:c>
      <x:c r="Y34" t="str">
        <x:v>Experiment schedule-driven reorder</x:v>
      </x:c>
      <x:c r="Z34" s="9" t="str">
        <x:v>SYNTHETIC_DEMO</x:v>
      </x:c>
    </x:row>
    <x:row r="35">
      <x:c r="A35" t="str">
        <x:v>SIM-UA-0034</x:v>
      </x:c>
      <x:c r="B35" t="str">
        <x:v>IMCD kidney-on-a-chip</x:v>
      </x:c>
      <x:c r="C35" t="str">
        <x:v>OOC-001</x:v>
      </x:c>
      <x:c r="D35" t="str">
        <x:v>PDMS elastomer kit</x:v>
      </x:c>
      <x:c r="E35" t="str">
        <x:v>2-part silicone elastomer, approx. 1 kg</x:v>
      </x:c>
      <x:c r="F35" t="str">
        <x:v>Chip fabrication</x:v>
      </x:c>
      <x:c r="G35" t="str">
        <x:v>SUP-04</x:v>
      </x:c>
      <x:c r="H35" t="str">
        <x:v>Canyon Microfabrication</x:v>
      </x:c>
      <x:c r="I35" s="28" t="n">
        <x:v>45656</x:v>
      </x:c>
      <x:c r="J35" s="28" t="n">
        <x:v>45667</x:v>
      </x:c>
      <x:c r="K35" s="28" t="n">
        <x:v>45667</x:v>
      </x:c>
      <x:c r="L35" s="32" t="n">
        <x:v>2</x:v>
      </x:c>
      <x:c r="M35" t="str">
        <x:v>kit</x:v>
      </x:c>
      <x:c r="N35" s="30" t="n">
        <x:v>203.17</x:v>
      </x:c>
      <x:c r="O35" s="30" t="n">
        <x:v>12</x:v>
      </x:c>
      <x:c r="P35" s="30" t="n">
        <x:f>L35*N35+O35</x:f>
        <x:v>418.34</x:v>
      </x:c>
      <x:c r="Q35" s="32" t="n">
        <x:f>J35-I35</x:f>
        <x:v>11</x:v>
      </x:c>
      <x:c r="R35" s="32" t="n">
        <x:f>IF(K35="","",K35-I35)</x:f>
        <x:v>11</x:v>
      </x:c>
      <x:c r="S35" s="32" t="n">
        <x:f>IF(K35="","",MAX(0,K35-J35))</x:f>
        <x:v>0</x:v>
      </x:c>
      <x:c r="T35" t="str">
        <x:f>IF(K35="","PENDING",IF(K35&lt;=J35,"ON_TIME","LATE"))</x:f>
        <x:v>ON_TIME</x:v>
      </x:c>
      <x:c r="U35" t="str">
        <x:v>ACCEPTED</x:v>
      </x:c>
      <x:c r="V35" t="str">
        <x:v>HIGH</x:v>
      </x:c>
      <x:c r="W35" t="str">
        <x:v>SUP-07</x:v>
      </x:c>
      <x:c r="X35" t="str">
        <x:v>Vendor web</x:v>
      </x:c>
      <x:c r="Y35" t="str">
        <x:v>Routine replenishment</x:v>
      </x:c>
      <x:c r="Z35" s="9" t="str">
        <x:v>SYNTHETIC_DEMO</x:v>
      </x:c>
    </x:row>
    <x:row r="36">
      <x:c r="A36" t="str">
        <x:v>SIM-UA-0035</x:v>
      </x:c>
      <x:c r="B36" t="str">
        <x:v>IMCD kidney-on-a-chip</x:v>
      </x:c>
      <x:c r="C36" t="str">
        <x:v>OOC-014</x:v>
      </x:c>
      <x:c r="D36" t="str">
        <x:v>Culture well plates</x:v>
      </x:c>
      <x:c r="E36" t="str">
        <x:v>24-well, sterile, 50/pack</x:v>
      </x:c>
      <x:c r="F36" t="str">
        <x:v>Cell culture</x:v>
      </x:c>
      <x:c r="G36" t="str">
        <x:v>SUP-02</x:v>
      </x:c>
      <x:c r="H36" t="str">
        <x:v>Desert BioReagents</x:v>
      </x:c>
      <x:c r="I36" s="28" t="n">
        <x:v>45657</x:v>
      </x:c>
      <x:c r="J36" s="28" t="n">
        <x:v>45665</x:v>
      </x:c>
      <x:c r="K36" s="28" t="n">
        <x:v>45665</x:v>
      </x:c>
      <x:c r="L36" s="32" t="n">
        <x:v>2</x:v>
      </x:c>
      <x:c r="M36" t="str">
        <x:v>pack</x:v>
      </x:c>
      <x:c r="N36" s="30" t="n">
        <x:v>108.66</x:v>
      </x:c>
      <x:c r="O36" s="30" t="n">
        <x:v>0</x:v>
      </x:c>
      <x:c r="P36" s="30" t="n">
        <x:f>L36*N36+O36</x:f>
        <x:v>217.32</x:v>
      </x:c>
      <x:c r="Q36" s="32" t="n">
        <x:f>J36-I36</x:f>
        <x:v>8</x:v>
      </x:c>
      <x:c r="R36" s="32" t="n">
        <x:f>IF(K36="","",K36-I36)</x:f>
        <x:v>8</x:v>
      </x:c>
      <x:c r="S36" s="32" t="n">
        <x:f>IF(K36="","",MAX(0,K36-J36))</x:f>
        <x:v>0</x:v>
      </x:c>
      <x:c r="T36" t="str">
        <x:f>IF(K36="","PENDING",IF(K36&lt;=J36,"ON_TIME","LATE"))</x:f>
        <x:v>ON_TIME</x:v>
      </x:c>
      <x:c r="U36" t="str">
        <x:v>ACCEPTED</x:v>
      </x:c>
      <x:c r="V36" t="str">
        <x:v>MEDIUM</x:v>
      </x:c>
      <x:c r="W36" t="str">
        <x:v>SUP-01</x:v>
      </x:c>
      <x:c r="X36" t="str">
        <x:v>Institutional catalog</x:v>
      </x:c>
      <x:c r="Y36" t="str">
        <x:v>Routine replenishment</x:v>
      </x:c>
      <x:c r="Z36" s="9" t="str">
        <x:v>SYNTHETIC_DEMO</x:v>
      </x:c>
    </x:row>
    <x:row r="37">
      <x:c r="A37" t="str">
        <x:v>SIM-UA-0036</x:v>
      </x:c>
      <x:c r="B37" t="str">
        <x:v>Paper microfluidics (SALSA)</x:v>
      </x:c>
      <x:c r="C37" t="str">
        <x:v>PAP-012</x:v>
      </x:c>
      <x:c r="D37" t="str">
        <x:v>Filter pipette tips</x:v>
      </x:c>
      <x:c r="E37" t="str">
        <x:v>200 µL, sterile, 960/pack</x:v>
      </x:c>
      <x:c r="F37" t="str">
        <x:v>Assay reagents</x:v>
      </x:c>
      <x:c r="G37" t="str">
        <x:v>SUP-02</x:v>
      </x:c>
      <x:c r="H37" t="str">
        <x:v>Desert BioReagents</x:v>
      </x:c>
      <x:c r="I37" s="28" t="n">
        <x:v>45662</x:v>
      </x:c>
      <x:c r="J37" s="28" t="n">
        <x:v>45671</x:v>
      </x:c>
      <x:c r="K37" s="28" t="n">
        <x:v>45669</x:v>
      </x:c>
      <x:c r="L37" s="32" t="n">
        <x:v>1</x:v>
      </x:c>
      <x:c r="M37" t="str">
        <x:v>pack</x:v>
      </x:c>
      <x:c r="N37" s="30" t="n">
        <x:v>82.8</x:v>
      </x:c>
      <x:c r="O37" s="30" t="n">
        <x:v>12</x:v>
      </x:c>
      <x:c r="P37" s="30" t="n">
        <x:f>L37*N37+O37</x:f>
        <x:v>94.8</x:v>
      </x:c>
      <x:c r="Q37" s="32" t="n">
        <x:f>J37-I37</x:f>
        <x:v>9</x:v>
      </x:c>
      <x:c r="R37" s="32" t="n">
        <x:f>IF(K37="","",K37-I37)</x:f>
        <x:v>7</x:v>
      </x:c>
      <x:c r="S37" s="32" t="n">
        <x:f>IF(K37="","",MAX(0,K37-J37))</x:f>
        <x:v>0</x:v>
      </x:c>
      <x:c r="T37" t="str">
        <x:f>IF(K37="","PENDING",IF(K37&lt;=J37,"ON_TIME","LATE"))</x:f>
        <x:v>ON_TIME</x:v>
      </x:c>
      <x:c r="U37" t="str">
        <x:v>ACCEPTED</x:v>
      </x:c>
      <x:c r="V37" t="str">
        <x:v>MEDIUM</x:v>
      </x:c>
      <x:c r="W37" t="str">
        <x:v>SUP-01</x:v>
      </x:c>
      <x:c r="X37" t="str">
        <x:v>Quote-to-PO</x:v>
      </x:c>
      <x:c r="Y37" t="str">
        <x:v>Routine replenishment</x:v>
      </x:c>
      <x:c r="Z37" s="9" t="str">
        <x:v>SYNTHETIC_DEMO</x:v>
      </x:c>
    </x:row>
    <x:row r="38">
      <x:c r="A38" t="str">
        <x:v>SIM-UA-0037</x:v>
      </x:c>
      <x:c r="B38" t="str">
        <x:v>Paper microfluidics (SALSA)</x:v>
      </x:c>
      <x:c r="C38" t="str">
        <x:v>PAP-012</x:v>
      </x:c>
      <x:c r="D38" t="str">
        <x:v>Filter pipette tips</x:v>
      </x:c>
      <x:c r="E38" t="str">
        <x:v>200 µL, sterile, 960/pack</x:v>
      </x:c>
      <x:c r="F38" t="str">
        <x:v>Assay reagents</x:v>
      </x:c>
      <x:c r="G38" t="str">
        <x:v>SUP-01</x:v>
      </x:c>
      <x:c r="H38" t="str">
        <x:v>Sonoran Scientific Supply</x:v>
      </x:c>
      <x:c r="I38" s="28" t="n">
        <x:v>45662</x:v>
      </x:c>
      <x:c r="J38" s="28" t="n">
        <x:v>45670</x:v>
      </x:c>
      <x:c r="K38" s="28" t="n">
        <x:v>45670</x:v>
      </x:c>
      <x:c r="L38" s="32" t="n">
        <x:v>1</x:v>
      </x:c>
      <x:c r="M38" t="str">
        <x:v>pack</x:v>
      </x:c>
      <x:c r="N38" s="30" t="n">
        <x:v>77.5</x:v>
      </x:c>
      <x:c r="O38" s="30" t="n">
        <x:v>22.5</x:v>
      </x:c>
      <x:c r="P38" s="30" t="n">
        <x:f>L38*N38+O38</x:f>
        <x:v>100</x:v>
      </x:c>
      <x:c r="Q38" s="32" t="n">
        <x:f>J38-I38</x:f>
        <x:v>8</x:v>
      </x:c>
      <x:c r="R38" s="32" t="n">
        <x:f>IF(K38="","",K38-I38)</x:f>
        <x:v>8</x:v>
      </x:c>
      <x:c r="S38" s="32" t="n">
        <x:f>IF(K38="","",MAX(0,K38-J38))</x:f>
        <x:v>0</x:v>
      </x:c>
      <x:c r="T38" t="str">
        <x:f>IF(K38="","PENDING",IF(K38&lt;=J38,"ON_TIME","LATE"))</x:f>
        <x:v>ON_TIME</x:v>
      </x:c>
      <x:c r="U38" t="str">
        <x:v>ACCEPTED</x:v>
      </x:c>
      <x:c r="V38" t="str">
        <x:v>MEDIUM</x:v>
      </x:c>
      <x:c r="W38" t="str">
        <x:v>SUP-02</x:v>
      </x:c>
      <x:c r="X38" t="str">
        <x:v>Quote-to-PO</x:v>
      </x:c>
      <x:c r="Y38" t="str">
        <x:v>Routine replenishment</x:v>
      </x:c>
      <x:c r="Z38" s="9" t="str">
        <x:v>SYNTHETIC_DEMO</x:v>
      </x:c>
    </x:row>
    <x:row r="39">
      <x:c r="A39" t="str">
        <x:v>SIM-UA-0038</x:v>
      </x:c>
      <x:c r="B39" t="str">
        <x:v>Smartphone optical readout</x:v>
      </x:c>
      <x:c r="C39" t="str">
        <x:v>IMG-001</x:v>
      </x:c>
      <x:c r="D39" t="str">
        <x:v>USB ring LED module</x:v>
      </x:c>
      <x:c r="E39" t="str">
        <x:v>Adjustable white LED, USB-powered</x:v>
      </x:c>
      <x:c r="F39" t="str">
        <x:v>Optics &amp; electronics</x:v>
      </x:c>
      <x:c r="G39" t="str">
        <x:v>SUP-06</x:v>
      </x:c>
      <x:c r="H39" t="str">
        <x:v>Southwest Imaging Parts</x:v>
      </x:c>
      <x:c r="I39" s="28" t="n">
        <x:v>45664</x:v>
      </x:c>
      <x:c r="J39" s="28" t="n">
        <x:v>45674</x:v>
      </x:c>
      <x:c r="K39" s="28" t="n">
        <x:v>45672</x:v>
      </x:c>
      <x:c r="L39" s="32" t="n">
        <x:v>3</x:v>
      </x:c>
      <x:c r="M39" t="str">
        <x:v>unit</x:v>
      </x:c>
      <x:c r="N39" s="30" t="n">
        <x:v>39.18</x:v>
      </x:c>
      <x:c r="O39" s="30" t="n">
        <x:v>0</x:v>
      </x:c>
      <x:c r="P39" s="30" t="n">
        <x:f>L39*N39+O39</x:f>
        <x:v>117.53999999999999</x:v>
      </x:c>
      <x:c r="Q39" s="32" t="n">
        <x:f>J39-I39</x:f>
        <x:v>10</x:v>
      </x:c>
      <x:c r="R39" s="32" t="n">
        <x:f>IF(K39="","",K39-I39)</x:f>
        <x:v>8</x:v>
      </x:c>
      <x:c r="S39" s="32" t="n">
        <x:f>IF(K39="","",MAX(0,K39-J39))</x:f>
        <x:v>0</x:v>
      </x:c>
      <x:c r="T39" t="str">
        <x:f>IF(K39="","PENDING",IF(K39&lt;=J39,"ON_TIME","LATE"))</x:f>
        <x:v>ON_TIME</x:v>
      </x:c>
      <x:c r="U39" t="str">
        <x:v>ACCEPTED</x:v>
      </x:c>
      <x:c r="V39" t="str">
        <x:v>MEDIUM</x:v>
      </x:c>
      <x:c r="W39" t="str">
        <x:v>SUP-07</x:v>
      </x:c>
      <x:c r="X39" t="str">
        <x:v>Quote-to-PO</x:v>
      </x:c>
      <x:c r="Y39" t="str">
        <x:v>Routine replenishment</x:v>
      </x:c>
      <x:c r="Z39" s="9" t="str">
        <x:v>SYNTHETIC_DEMO</x:v>
      </x:c>
    </x:row>
    <x:row r="40">
      <x:c r="A40" t="str">
        <x:v>SIM-UA-0039</x:v>
      </x:c>
      <x:c r="B40" t="str">
        <x:v>IMCD kidney-on-a-chip</x:v>
      </x:c>
      <x:c r="C40" t="str">
        <x:v>OOC-011</x:v>
      </x:c>
      <x:c r="D40" t="str">
        <x:v>Penicillin-streptomycin</x:v>
      </x:c>
      <x:c r="E40" t="str">
        <x:v>100 mL, 100x solution</x:v>
      </x:c>
      <x:c r="F40" t="str">
        <x:v>Cell culture</x:v>
      </x:c>
      <x:c r="G40" t="str">
        <x:v>SUP-02</x:v>
      </x:c>
      <x:c r="H40" t="str">
        <x:v>Desert BioReagents</x:v>
      </x:c>
      <x:c r="I40" s="28" t="n">
        <x:v>45665</x:v>
      </x:c>
      <x:c r="J40" s="28" t="n">
        <x:v>45668</x:v>
      </x:c>
      <x:c r="K40" s="28" t="n">
        <x:v>45668</x:v>
      </x:c>
      <x:c r="L40" s="32" t="n">
        <x:v>1</x:v>
      </x:c>
      <x:c r="M40" t="str">
        <x:v>bottle</x:v>
      </x:c>
      <x:c r="N40" s="30" t="n">
        <x:v>40.09</x:v>
      </x:c>
      <x:c r="O40" s="30" t="n">
        <x:v>18</x:v>
      </x:c>
      <x:c r="P40" s="30" t="n">
        <x:f>L40*N40+O40</x:f>
        <x:v>58.09</x:v>
      </x:c>
      <x:c r="Q40" s="32" t="n">
        <x:f>J40-I40</x:f>
        <x:v>3</x:v>
      </x:c>
      <x:c r="R40" s="32" t="n">
        <x:f>IF(K40="","",K40-I40)</x:f>
        <x:v>3</x:v>
      </x:c>
      <x:c r="S40" s="32" t="n">
        <x:f>IF(K40="","",MAX(0,K40-J40))</x:f>
        <x:v>0</x:v>
      </x:c>
      <x:c r="T40" t="str">
        <x:f>IF(K40="","PENDING",IF(K40&lt;=J40,"ON_TIME","LATE"))</x:f>
        <x:v>ON_TIME</x:v>
      </x:c>
      <x:c r="U40" t="str">
        <x:v>ACCEPTED</x:v>
      </x:c>
      <x:c r="V40" t="str">
        <x:v>MEDIUM</x:v>
      </x:c>
      <x:c r="W40" t="str">
        <x:v>SUP-01</x:v>
      </x:c>
      <x:c r="X40" t="str">
        <x:v>Institutional catalog</x:v>
      </x:c>
      <x:c r="Y40" t="str"/>
      <x:c r="Z40" s="9" t="str">
        <x:v>SYNTHETIC_DEMO</x:v>
      </x:c>
    </x:row>
    <x:row r="41">
      <x:c r="A41" t="str">
        <x:v>SIM-UA-0040</x:v>
      </x:c>
      <x:c r="B41" t="str">
        <x:v>IMCD kidney-on-a-chip</x:v>
      </x:c>
      <x:c r="C41" t="str">
        <x:v>OOC-007</x:v>
      </x:c>
      <x:c r="D41" t="str">
        <x:v>Sterile syringes</x:v>
      </x:c>
      <x:c r="E41" t="str">
        <x:v>10 mL, 100/box</x:v>
      </x:c>
      <x:c r="F41" t="str">
        <x:v>Fluidics hardware</x:v>
      </x:c>
      <x:c r="G41" t="str">
        <x:v>SUP-01</x:v>
      </x:c>
      <x:c r="H41" t="str">
        <x:v>Sonoran Scientific Supply</x:v>
      </x:c>
      <x:c r="I41" s="28" t="n">
        <x:v>45666</x:v>
      </x:c>
      <x:c r="J41" s="28" t="n">
        <x:v>45672</x:v>
      </x:c>
      <x:c r="K41" s="28" t="n">
        <x:v>45672</x:v>
      </x:c>
      <x:c r="L41" s="32" t="n">
        <x:v>1</x:v>
      </x:c>
      <x:c r="M41" t="str">
        <x:v>box</x:v>
      </x:c>
      <x:c r="N41" s="30" t="n">
        <x:v>67.39</x:v>
      </x:c>
      <x:c r="O41" s="30" t="n">
        <x:v>15</x:v>
      </x:c>
      <x:c r="P41" s="30" t="n">
        <x:f>L41*N41+O41</x:f>
        <x:v>82.39</x:v>
      </x:c>
      <x:c r="Q41" s="32" t="n">
        <x:f>J41-I41</x:f>
        <x:v>6</x:v>
      </x:c>
      <x:c r="R41" s="32" t="n">
        <x:f>IF(K41="","",K41-I41)</x:f>
        <x:v>6</x:v>
      </x:c>
      <x:c r="S41" s="32" t="n">
        <x:f>IF(K41="","",MAX(0,K41-J41))</x:f>
        <x:v>0</x:v>
      </x:c>
      <x:c r="T41" t="str">
        <x:f>IF(K41="","PENDING",IF(K41&lt;=J41,"ON_TIME","LATE"))</x:f>
        <x:v>ON_TIME</x:v>
      </x:c>
      <x:c r="U41" t="str">
        <x:v>ACCEPTED</x:v>
      </x:c>
      <x:c r="V41" t="str">
        <x:v>MEDIUM</x:v>
      </x:c>
      <x:c r="W41" t="str">
        <x:v>SUP-05</x:v>
      </x:c>
      <x:c r="X41" t="str">
        <x:v>Institutional catalog</x:v>
      </x:c>
      <x:c r="Y41" t="str">
        <x:v>Routine replenishment</x:v>
      </x:c>
      <x:c r="Z41" s="9" t="str">
        <x:v>SYNTHETIC_DEMO</x:v>
      </x:c>
    </x:row>
    <x:row r="42">
      <x:c r="A42" t="str">
        <x:v>SIM-UA-0041</x:v>
      </x:c>
      <x:c r="B42" t="str">
        <x:v>Paper microfluidics (SALSA)</x:v>
      </x:c>
      <x:c r="C42" t="str">
        <x:v>PAP-010</x:v>
      </x:c>
      <x:c r="D42" t="str">
        <x:v>Fluorescein sodium salt</x:v>
      </x:c>
      <x:c r="E42" t="str">
        <x:v>Fluorescence reference reagent, 5 g</x:v>
      </x:c>
      <x:c r="F42" t="str">
        <x:v>Assay reagents</x:v>
      </x:c>
      <x:c r="G42" t="str">
        <x:v>SUP-01</x:v>
      </x:c>
      <x:c r="H42" t="str">
        <x:v>Sonoran Scientific Supply</x:v>
      </x:c>
      <x:c r="I42" s="28" t="n">
        <x:v>45667</x:v>
      </x:c>
      <x:c r="J42" s="28" t="n">
        <x:v>45671</x:v>
      </x:c>
      <x:c r="K42" s="28" t="n">
        <x:v>45670</x:v>
      </x:c>
      <x:c r="L42" s="32" t="n">
        <x:v>1</x:v>
      </x:c>
      <x:c r="M42" t="str">
        <x:v>bottle</x:v>
      </x:c>
      <x:c r="N42" s="30" t="n">
        <x:v>92.61</x:v>
      </x:c>
      <x:c r="O42" s="30" t="n">
        <x:v>29</x:v>
      </x:c>
      <x:c r="P42" s="30" t="n">
        <x:f>L42*N42+O42</x:f>
        <x:v>121.61</x:v>
      </x:c>
      <x:c r="Q42" s="32" t="n">
        <x:f>J42-I42</x:f>
        <x:v>4</x:v>
      </x:c>
      <x:c r="R42" s="32" t="n">
        <x:f>IF(K42="","",K42-I42)</x:f>
        <x:v>3</x:v>
      </x:c>
      <x:c r="S42" s="32" t="n">
        <x:f>IF(K42="","",MAX(0,K42-J42))</x:f>
        <x:v>0</x:v>
      </x:c>
      <x:c r="T42" t="str">
        <x:f>IF(K42="","PENDING",IF(K42&lt;=J42,"ON_TIME","LATE"))</x:f>
        <x:v>ON_TIME</x:v>
      </x:c>
      <x:c r="U42" t="str">
        <x:v>ACCEPTED</x:v>
      </x:c>
      <x:c r="V42" t="str">
        <x:v>MEDIUM</x:v>
      </x:c>
      <x:c r="W42" t="str">
        <x:v>SUP-02</x:v>
      </x:c>
      <x:c r="X42" t="str">
        <x:v>Vendor web</x:v>
      </x:c>
      <x:c r="Y42" t="str">
        <x:v>Routine replenishment</x:v>
      </x:c>
      <x:c r="Z42" s="9" t="str">
        <x:v>SYNTHETIC_DEMO</x:v>
      </x:c>
    </x:row>
    <x:row r="43">
      <x:c r="A43" t="str">
        <x:v>SIM-UA-0042</x:v>
      </x:c>
      <x:c r="B43" t="str">
        <x:v>IMCD kidney-on-a-chip</x:v>
      </x:c>
      <x:c r="C43" t="str">
        <x:v>OOC-002</x:v>
      </x:c>
      <x:c r="D43" t="str">
        <x:v>Porous membrane film</x:v>
      </x:c>
      <x:c r="E43" t="str">
        <x:v>0.4 µm, microfluidic support membrane</x:v>
      </x:c>
      <x:c r="F43" t="str">
        <x:v>Chip fabrication</x:v>
      </x:c>
      <x:c r="G43" t="str">
        <x:v>SUP-04</x:v>
      </x:c>
      <x:c r="H43" t="str">
        <x:v>Canyon Microfabrication</x:v>
      </x:c>
      <x:c r="I43" s="28" t="n">
        <x:v>45671</x:v>
      </x:c>
      <x:c r="J43" s="28" t="n">
        <x:v>45683</x:v>
      </x:c>
      <x:c r="K43" s="28" t="n">
        <x:v>45682</x:v>
      </x:c>
      <x:c r="L43" s="32" t="n">
        <x:v>1</x:v>
      </x:c>
      <x:c r="M43" t="str">
        <x:v>pack</x:v>
      </x:c>
      <x:c r="N43" s="30" t="n">
        <x:v>164.74</x:v>
      </x:c>
      <x:c r="O43" s="30" t="n">
        <x:v>8.5</x:v>
      </x:c>
      <x:c r="P43" s="30" t="n">
        <x:f>L43*N43+O43</x:f>
        <x:v>173.24</x:v>
      </x:c>
      <x:c r="Q43" s="32" t="n">
        <x:f>J43-I43</x:f>
        <x:v>12</x:v>
      </x:c>
      <x:c r="R43" s="32" t="n">
        <x:f>IF(K43="","",K43-I43)</x:f>
        <x:v>11</x:v>
      </x:c>
      <x:c r="S43" s="32" t="n">
        <x:f>IF(K43="","",MAX(0,K43-J43))</x:f>
        <x:v>0</x:v>
      </x:c>
      <x:c r="T43" t="str">
        <x:f>IF(K43="","PENDING",IF(K43&lt;=J43,"ON_TIME","LATE"))</x:f>
        <x:v>ON_TIME</x:v>
      </x:c>
      <x:c r="U43" t="str">
        <x:v>ACCEPTED</x:v>
      </x:c>
      <x:c r="V43" t="str">
        <x:v>HIGH</x:v>
      </x:c>
      <x:c r="W43" t="str">
        <x:v>SUP-01</x:v>
      </x:c>
      <x:c r="X43" t="str">
        <x:v>Quote-to-PO</x:v>
      </x:c>
      <x:c r="Y43" t="str"/>
      <x:c r="Z43" s="9" t="str">
        <x:v>SYNTHETIC_DEMO</x:v>
      </x:c>
    </x:row>
    <x:row r="44">
      <x:c r="A44" t="str">
        <x:v>SIM-UA-0043</x:v>
      </x:c>
      <x:c r="B44" t="str">
        <x:v>IMCD kidney-on-a-chip</x:v>
      </x:c>
      <x:c r="C44" t="str">
        <x:v>OOC-015</x:v>
      </x:c>
      <x:c r="D44" t="str">
        <x:v>Syringe filters</x:v>
      </x:c>
      <x:c r="E44" t="str">
        <x:v>0.22 µm, sterile, 50/pack</x:v>
      </x:c>
      <x:c r="F44" t="str">
        <x:v>Cell culture</x:v>
      </x:c>
      <x:c r="G44" t="str">
        <x:v>SUP-02</x:v>
      </x:c>
      <x:c r="H44" t="str">
        <x:v>Desert BioReagents</x:v>
      </x:c>
      <x:c r="I44" s="28" t="n">
        <x:v>45672</x:v>
      </x:c>
      <x:c r="J44" s="28" t="n">
        <x:v>45680</x:v>
      </x:c>
      <x:c r="K44" s="28" t="n">
        <x:v>45680</x:v>
      </x:c>
      <x:c r="L44" s="32" t="n">
        <x:v>3</x:v>
      </x:c>
      <x:c r="M44" t="str">
        <x:v>pack</x:v>
      </x:c>
      <x:c r="N44" s="30" t="n">
        <x:v>94.15</x:v>
      </x:c>
      <x:c r="O44" s="30" t="n">
        <x:v>15</x:v>
      </x:c>
      <x:c r="P44" s="30" t="n">
        <x:f>L44*N44+O44</x:f>
        <x:v>297.45000000000005</x:v>
      </x:c>
      <x:c r="Q44" s="32" t="n">
        <x:f>J44-I44</x:f>
        <x:v>8</x:v>
      </x:c>
      <x:c r="R44" s="32" t="n">
        <x:f>IF(K44="","",K44-I44)</x:f>
        <x:v>8</x:v>
      </x:c>
      <x:c r="S44" s="32" t="n">
        <x:f>IF(K44="","",MAX(0,K44-J44))</x:f>
        <x:v>0</x:v>
      </x:c>
      <x:c r="T44" t="str">
        <x:f>IF(K44="","PENDING",IF(K44&lt;=J44,"ON_TIME","LATE"))</x:f>
        <x:v>ON_TIME</x:v>
      </x:c>
      <x:c r="U44" t="str">
        <x:v>ACCEPTED</x:v>
      </x:c>
      <x:c r="V44" t="str">
        <x:v>MEDIUM</x:v>
      </x:c>
      <x:c r="W44" t="str">
        <x:v>SUP-01</x:v>
      </x:c>
      <x:c r="X44" t="str">
        <x:v>Vendor web</x:v>
      </x:c>
      <x:c r="Y44" t="str"/>
      <x:c r="Z44" s="9" t="str">
        <x:v>SYNTHETIC_DEMO</x:v>
      </x:c>
    </x:row>
    <x:row r="45">
      <x:c r="A45" t="str">
        <x:v>SIM-UA-0044</x:v>
      </x:c>
      <x:c r="B45" t="str">
        <x:v>IMCD kidney-on-a-chip</x:v>
      </x:c>
      <x:c r="C45" t="str">
        <x:v>OOC-004</x:v>
      </x:c>
      <x:c r="D45" t="str">
        <x:v>Glass cover slips</x:v>
      </x:c>
      <x:c r="E45" t="str">
        <x:v>No. 1.5, 100/pack</x:v>
      </x:c>
      <x:c r="F45" t="str">
        <x:v>Chip fabrication</x:v>
      </x:c>
      <x:c r="G45" t="str">
        <x:v>SUP-04</x:v>
      </x:c>
      <x:c r="H45" t="str">
        <x:v>Canyon Microfabrication</x:v>
      </x:c>
      <x:c r="I45" s="28" t="n">
        <x:v>45675</x:v>
      </x:c>
      <x:c r="J45" s="28" t="n">
        <x:v>45686</x:v>
      </x:c>
      <x:c r="K45" s="28" t="n">
        <x:v>45686</x:v>
      </x:c>
      <x:c r="L45" s="32" t="n">
        <x:v>1</x:v>
      </x:c>
      <x:c r="M45" t="str">
        <x:v>pack</x:v>
      </x:c>
      <x:c r="N45" s="30" t="n">
        <x:v>49.1</x:v>
      </x:c>
      <x:c r="O45" s="30" t="n">
        <x:v>15</x:v>
      </x:c>
      <x:c r="P45" s="30" t="n">
        <x:f>L45*N45+O45</x:f>
        <x:v>64.1</x:v>
      </x:c>
      <x:c r="Q45" s="32" t="n">
        <x:f>J45-I45</x:f>
        <x:v>11</x:v>
      </x:c>
      <x:c r="R45" s="32" t="n">
        <x:f>IF(K45="","",K45-I45)</x:f>
        <x:v>11</x:v>
      </x:c>
      <x:c r="S45" s="32" t="n">
        <x:f>IF(K45="","",MAX(0,K45-J45))</x:f>
        <x:v>0</x:v>
      </x:c>
      <x:c r="T45" t="str">
        <x:f>IF(K45="","PENDING",IF(K45&lt;=J45,"ON_TIME","LATE"))</x:f>
        <x:v>ON_TIME</x:v>
      </x:c>
      <x:c r="U45" t="str">
        <x:v>ACCEPTED</x:v>
      </x:c>
      <x:c r="V45" t="str">
        <x:v>MEDIUM</x:v>
      </x:c>
      <x:c r="W45" t="str">
        <x:v>SUP-01</x:v>
      </x:c>
      <x:c r="X45" t="str">
        <x:v>Institutional catalog</x:v>
      </x:c>
      <x:c r="Y45" t="str">
        <x:v>Routine replenishment</x:v>
      </x:c>
      <x:c r="Z45" s="9" t="str">
        <x:v>SYNTHETIC_DEMO</x:v>
      </x:c>
    </x:row>
    <x:row r="46">
      <x:c r="A46" t="str">
        <x:v>SIM-UA-0045</x:v>
      </x:c>
      <x:c r="B46" t="str">
        <x:v>Paper microfluidics (SALSA)</x:v>
      </x:c>
      <x:c r="C46" t="str">
        <x:v>PAP-011</x:v>
      </x:c>
      <x:c r="D46" t="str">
        <x:v>Microcentrifuge tubes</x:v>
      </x:c>
      <x:c r="E46" t="str">
        <x:v>1.5 mL, 500/pack</x:v>
      </x:c>
      <x:c r="F46" t="str">
        <x:v>Assay reagents</x:v>
      </x:c>
      <x:c r="G46" t="str">
        <x:v>SUP-01</x:v>
      </x:c>
      <x:c r="H46" t="str">
        <x:v>Sonoran Scientific Supply</x:v>
      </x:c>
      <x:c r="I46" s="28" t="n">
        <x:v>45676</x:v>
      </x:c>
      <x:c r="J46" s="28" t="n">
        <x:v>45686</x:v>
      </x:c>
      <x:c r="K46" s="28" t="n">
        <x:v>45687</x:v>
      </x:c>
      <x:c r="L46" s="32" t="n">
        <x:v>2</x:v>
      </x:c>
      <x:c r="M46" t="str">
        <x:v>pack</x:v>
      </x:c>
      <x:c r="N46" s="30" t="n">
        <x:v>36.71</x:v>
      </x:c>
      <x:c r="O46" s="30" t="n">
        <x:v>18</x:v>
      </x:c>
      <x:c r="P46" s="30" t="n">
        <x:f>L46*N46+O46</x:f>
        <x:v>91.42</x:v>
      </x:c>
      <x:c r="Q46" s="32" t="n">
        <x:f>J46-I46</x:f>
        <x:v>10</x:v>
      </x:c>
      <x:c r="R46" s="32" t="n">
        <x:f>IF(K46="","",K46-I46)</x:f>
        <x:v>11</x:v>
      </x:c>
      <x:c r="S46" s="32" t="n">
        <x:f>IF(K46="","",MAX(0,K46-J46))</x:f>
        <x:v>1</x:v>
      </x:c>
      <x:c r="T46" t="str">
        <x:f>IF(K46="","PENDING",IF(K46&lt;=J46,"ON_TIME","LATE"))</x:f>
        <x:v>LATE</x:v>
      </x:c>
      <x:c r="U46" t="str">
        <x:v>ACCEPTED</x:v>
      </x:c>
      <x:c r="V46" t="str">
        <x:v>LOW</x:v>
      </x:c>
      <x:c r="W46" t="str">
        <x:v>SUP-07</x:v>
      </x:c>
      <x:c r="X46" t="str">
        <x:v>Vendor web</x:v>
      </x:c>
      <x:c r="Y46" t="str">
        <x:v>Prototype iteration demand</x:v>
      </x:c>
      <x:c r="Z46" s="9" t="str">
        <x:v>SYNTHETIC_DEMO</x:v>
      </x:c>
    </x:row>
    <x:row r="47">
      <x:c r="A47" t="str">
        <x:v>SIM-UA-0046</x:v>
      </x:c>
      <x:c r="B47" t="str">
        <x:v>Paper microfluidics (SALSA)</x:v>
      </x:c>
      <x:c r="C47" t="str">
        <x:v>PAP-009</x:v>
      </x:c>
      <x:c r="D47" t="str">
        <x:v>Food-safe model dye set</x:v>
      </x:c>
      <x:c r="E47" t="str">
        <x:v>Colored tracer liquids for imaging calibration</x:v>
      </x:c>
      <x:c r="F47" t="str">
        <x:v>Assay reagents</x:v>
      </x:c>
      <x:c r="G47" t="str">
        <x:v>SUP-07</x:v>
      </x:c>
      <x:c r="H47" t="str">
        <x:v>RapidLab Alternate Source</x:v>
      </x:c>
      <x:c r="I47" s="28" t="n">
        <x:v>45678</x:v>
      </x:c>
      <x:c r="J47" s="28" t="n">
        <x:v>45685</x:v>
      </x:c>
      <x:c r="K47" s="28" t="n">
        <x:v>45688</x:v>
      </x:c>
      <x:c r="L47" s="32" t="n">
        <x:v>1</x:v>
      </x:c>
      <x:c r="M47" t="str">
        <x:v>kit</x:v>
      </x:c>
      <x:c r="N47" s="30" t="n">
        <x:v>40.04</x:v>
      </x:c>
      <x:c r="O47" s="30" t="n">
        <x:v>0</x:v>
      </x:c>
      <x:c r="P47" s="30" t="n">
        <x:f>L47*N47+O47</x:f>
        <x:v>40.04</x:v>
      </x:c>
      <x:c r="Q47" s="32" t="n">
        <x:f>J47-I47</x:f>
        <x:v>7</x:v>
      </x:c>
      <x:c r="R47" s="32" t="n">
        <x:f>IF(K47="","",K47-I47)</x:f>
        <x:v>10</x:v>
      </x:c>
      <x:c r="S47" s="32" t="n">
        <x:f>IF(K47="","",MAX(0,K47-J47))</x:f>
        <x:v>3</x:v>
      </x:c>
      <x:c r="T47" t="str">
        <x:f>IF(K47="","PENDING",IF(K47&lt;=J47,"ON_TIME","LATE"))</x:f>
        <x:v>LATE</x:v>
      </x:c>
      <x:c r="U47" t="str">
        <x:v>ACCEPTED</x:v>
      </x:c>
      <x:c r="V47" t="str">
        <x:v>LOW</x:v>
      </x:c>
      <x:c r="W47" t="str">
        <x:v>SUP-01</x:v>
      </x:c>
      <x:c r="X47" t="str">
        <x:v>Vendor web</x:v>
      </x:c>
      <x:c r="Y47" t="str">
        <x:v>Routine replenishment</x:v>
      </x:c>
      <x:c r="Z47" s="9" t="str">
        <x:v>SYNTHETIC_DEMO</x:v>
      </x:c>
    </x:row>
    <x:row r="48">
      <x:c r="A48" t="str">
        <x:v>SIM-UA-0047</x:v>
      </x:c>
      <x:c r="B48" t="str">
        <x:v>IMCD kidney-on-a-chip</x:v>
      </x:c>
      <x:c r="C48" t="str">
        <x:v>OOC-006</x:v>
      </x:c>
      <x:c r="D48" t="str">
        <x:v>Luer-lock connectors</x:v>
      </x:c>
      <x:c r="E48" t="str">
        <x:v>Male/female assorted, 25/pack</x:v>
      </x:c>
      <x:c r="F48" t="str">
        <x:v>Fluidics hardware</x:v>
      </x:c>
      <x:c r="G48" t="str">
        <x:v>SUP-05</x:v>
      </x:c>
      <x:c r="H48" t="str">
        <x:v>Tucson Fluidics Components</x:v>
      </x:c>
      <x:c r="I48" s="28" t="n">
        <x:v>45678</x:v>
      </x:c>
      <x:c r="J48" s="28" t="n">
        <x:v>45686</x:v>
      </x:c>
      <x:c r="K48" s="28" t="n">
        <x:v>45686</x:v>
      </x:c>
      <x:c r="L48" s="32" t="n">
        <x:v>3</x:v>
      </x:c>
      <x:c r="M48" t="str">
        <x:v>pack</x:v>
      </x:c>
      <x:c r="N48" s="30" t="n">
        <x:v>68.33</x:v>
      </x:c>
      <x:c r="O48" s="30" t="n">
        <x:v>15</x:v>
      </x:c>
      <x:c r="P48" s="30" t="n">
        <x:f>L48*N48+O48</x:f>
        <x:v>219.99</x:v>
      </x:c>
      <x:c r="Q48" s="32" t="n">
        <x:f>J48-I48</x:f>
        <x:v>8</x:v>
      </x:c>
      <x:c r="R48" s="32" t="n">
        <x:f>IF(K48="","",K48-I48)</x:f>
        <x:v>8</x:v>
      </x:c>
      <x:c r="S48" s="32" t="n">
        <x:f>IF(K48="","",MAX(0,K48-J48))</x:f>
        <x:v>0</x:v>
      </x:c>
      <x:c r="T48" t="str">
        <x:f>IF(K48="","PENDING",IF(K48&lt;=J48,"ON_TIME","LATE"))</x:f>
        <x:v>ON_TIME</x:v>
      </x:c>
      <x:c r="U48" t="str">
        <x:v>ACCEPTED</x:v>
      </x:c>
      <x:c r="V48" t="str">
        <x:v>HIGH</x:v>
      </x:c>
      <x:c r="W48" t="str">
        <x:v>SUP-07</x:v>
      </x:c>
      <x:c r="X48" t="str">
        <x:v>Vendor web</x:v>
      </x:c>
      <x:c r="Y48" t="str">
        <x:v>Routine replenishment</x:v>
      </x:c>
      <x:c r="Z48" s="9" t="str">
        <x:v>SYNTHETIC_DEMO</x:v>
      </x:c>
    </x:row>
    <x:row r="49">
      <x:c r="A49" t="str">
        <x:v>SIM-UA-0048</x:v>
      </x:c>
      <x:c r="B49" t="str">
        <x:v>IMCD kidney-on-a-chip</x:v>
      </x:c>
      <x:c r="C49" t="str">
        <x:v>OOC-006</x:v>
      </x:c>
      <x:c r="D49" t="str">
        <x:v>Luer-lock connectors</x:v>
      </x:c>
      <x:c r="E49" t="str">
        <x:v>Male/female assorted, 25/pack</x:v>
      </x:c>
      <x:c r="F49" t="str">
        <x:v>Fluidics hardware</x:v>
      </x:c>
      <x:c r="G49" t="str">
        <x:v>SUP-05</x:v>
      </x:c>
      <x:c r="H49" t="str">
        <x:v>Tucson Fluidics Components</x:v>
      </x:c>
      <x:c r="I49" s="28" t="n">
        <x:v>45680</x:v>
      </x:c>
      <x:c r="J49" s="28" t="n">
        <x:v>45684</x:v>
      </x:c>
      <x:c r="K49" s="28" t="n">
        <x:v>45686</x:v>
      </x:c>
      <x:c r="L49" s="32" t="n">
        <x:v>1</x:v>
      </x:c>
      <x:c r="M49" t="str">
        <x:v>pack</x:v>
      </x:c>
      <x:c r="N49" s="30" t="n">
        <x:v>69.82</x:v>
      </x:c>
      <x:c r="O49" s="30" t="n">
        <x:v>15</x:v>
      </x:c>
      <x:c r="P49" s="30" t="n">
        <x:f>L49*N49+O49</x:f>
        <x:v>84.82</x:v>
      </x:c>
      <x:c r="Q49" s="32" t="n">
        <x:f>J49-I49</x:f>
        <x:v>4</x:v>
      </x:c>
      <x:c r="R49" s="32" t="n">
        <x:f>IF(K49="","",K49-I49)</x:f>
        <x:v>6</x:v>
      </x:c>
      <x:c r="S49" s="32" t="n">
        <x:f>IF(K49="","",MAX(0,K49-J49))</x:f>
        <x:v>2</x:v>
      </x:c>
      <x:c r="T49" t="str">
        <x:f>IF(K49="","PENDING",IF(K49&lt;=J49,"ON_TIME","LATE"))</x:f>
        <x:v>LATE</x:v>
      </x:c>
      <x:c r="U49" t="str">
        <x:v>ACCEPTED</x:v>
      </x:c>
      <x:c r="V49" t="str">
        <x:v>HIGH</x:v>
      </x:c>
      <x:c r="W49" t="str">
        <x:v>SUP-07</x:v>
      </x:c>
      <x:c r="X49" t="str">
        <x:v>Vendor web</x:v>
      </x:c>
      <x:c r="Y49" t="str"/>
      <x:c r="Z49" s="9" t="str">
        <x:v>SYNTHETIC_DEMO</x:v>
      </x:c>
    </x:row>
    <x:row r="50">
      <x:c r="A50" t="str">
        <x:v>SIM-UA-0049</x:v>
      </x:c>
      <x:c r="B50" t="str">
        <x:v>IMCD kidney-on-a-chip</x:v>
      </x:c>
      <x:c r="C50" t="str">
        <x:v>OOC-004</x:v>
      </x:c>
      <x:c r="D50" t="str">
        <x:v>Glass cover slips</x:v>
      </x:c>
      <x:c r="E50" t="str">
        <x:v>No. 1.5, 100/pack</x:v>
      </x:c>
      <x:c r="F50" t="str">
        <x:v>Chip fabrication</x:v>
      </x:c>
      <x:c r="G50" t="str">
        <x:v>SUP-04</x:v>
      </x:c>
      <x:c r="H50" t="str">
        <x:v>Canyon Microfabrication</x:v>
      </x:c>
      <x:c r="I50" s="28" t="n">
        <x:v>45680</x:v>
      </x:c>
      <x:c r="J50" s="28" t="n">
        <x:v>45695</x:v>
      </x:c>
      <x:c r="K50" s="28" t="n">
        <x:v>45693</x:v>
      </x:c>
      <x:c r="L50" s="32" t="n">
        <x:v>2</x:v>
      </x:c>
      <x:c r="M50" t="str">
        <x:v>pack</x:v>
      </x:c>
      <x:c r="N50" s="30" t="n">
        <x:v>45.99</x:v>
      </x:c>
      <x:c r="O50" s="30" t="n">
        <x:v>15</x:v>
      </x:c>
      <x:c r="P50" s="30" t="n">
        <x:f>L50*N50+O50</x:f>
        <x:v>106.98</x:v>
      </x:c>
      <x:c r="Q50" s="32" t="n">
        <x:f>J50-I50</x:f>
        <x:v>15</x:v>
      </x:c>
      <x:c r="R50" s="32" t="n">
        <x:f>IF(K50="","",K50-I50)</x:f>
        <x:v>13</x:v>
      </x:c>
      <x:c r="S50" s="32" t="n">
        <x:f>IF(K50="","",MAX(0,K50-J50))</x:f>
        <x:v>0</x:v>
      </x:c>
      <x:c r="T50" t="str">
        <x:f>IF(K50="","PENDING",IF(K50&lt;=J50,"ON_TIME","LATE"))</x:f>
        <x:v>ON_TIME</x:v>
      </x:c>
      <x:c r="U50" t="str">
        <x:v>ACCEPTED</x:v>
      </x:c>
      <x:c r="V50" t="str">
        <x:v>MEDIUM</x:v>
      </x:c>
      <x:c r="W50" t="str">
        <x:v>SUP-01</x:v>
      </x:c>
      <x:c r="X50" t="str">
        <x:v>Institutional catalog</x:v>
      </x:c>
      <x:c r="Y50" t="str">
        <x:v>Routine replenishment</x:v>
      </x:c>
      <x:c r="Z50" s="9" t="str">
        <x:v>SYNTHETIC_DEMO</x:v>
      </x:c>
    </x:row>
    <x:row r="51">
      <x:c r="A51" t="str">
        <x:v>SIM-UA-0050</x:v>
      </x:c>
      <x:c r="B51" t="str">
        <x:v>IMCD kidney-on-a-chip</x:v>
      </x:c>
      <x:c r="C51" t="str">
        <x:v>OOC-002</x:v>
      </x:c>
      <x:c r="D51" t="str">
        <x:v>Porous membrane film</x:v>
      </x:c>
      <x:c r="E51" t="str">
        <x:v>0.4 µm, microfluidic support membrane</x:v>
      </x:c>
      <x:c r="F51" t="str">
        <x:v>Chip fabrication</x:v>
      </x:c>
      <x:c r="G51" t="str">
        <x:v>SUP-04</x:v>
      </x:c>
      <x:c r="H51" t="str">
        <x:v>Canyon Microfabrication</x:v>
      </x:c>
      <x:c r="I51" s="28" t="n">
        <x:v>45682</x:v>
      </x:c>
      <x:c r="J51" s="28" t="n">
        <x:v>45691</x:v>
      </x:c>
      <x:c r="K51" s="28" t="n">
        <x:v>45691</x:v>
      </x:c>
      <x:c r="L51" s="32" t="n">
        <x:v>2</x:v>
      </x:c>
      <x:c r="M51" t="str">
        <x:v>pack</x:v>
      </x:c>
      <x:c r="N51" s="30" t="n">
        <x:v>179.85</x:v>
      </x:c>
      <x:c r="O51" s="30" t="n">
        <x:v>29</x:v>
      </x:c>
      <x:c r="P51" s="30" t="n">
        <x:f>L51*N51+O51</x:f>
        <x:v>388.7</x:v>
      </x:c>
      <x:c r="Q51" s="32" t="n">
        <x:f>J51-I51</x:f>
        <x:v>9</x:v>
      </x:c>
      <x:c r="R51" s="32" t="n">
        <x:f>IF(K51="","",K51-I51)</x:f>
        <x:v>9</x:v>
      </x:c>
      <x:c r="S51" s="32" t="n">
        <x:f>IF(K51="","",MAX(0,K51-J51))</x:f>
        <x:v>0</x:v>
      </x:c>
      <x:c r="T51" t="str">
        <x:f>IF(K51="","PENDING",IF(K51&lt;=J51,"ON_TIME","LATE"))</x:f>
        <x:v>ON_TIME</x:v>
      </x:c>
      <x:c r="U51" t="str">
        <x:v>ACCEPTED</x:v>
      </x:c>
      <x:c r="V51" t="str">
        <x:v>HIGH</x:v>
      </x:c>
      <x:c r="W51" t="str">
        <x:v>SUP-01</x:v>
      </x:c>
      <x:c r="X51" t="str">
        <x:v>Quote-to-PO</x:v>
      </x:c>
      <x:c r="Y51" t="str">
        <x:v>Prototype iteration demand</x:v>
      </x:c>
      <x:c r="Z51" s="9" t="str">
        <x:v>SYNTHETIC_DEMO</x:v>
      </x:c>
    </x:row>
    <x:row r="52">
      <x:c r="A52" t="str">
        <x:v>SIM-UA-0051</x:v>
      </x:c>
      <x:c r="B52" t="str">
        <x:v>Paper microfluidics (SALSA)</x:v>
      </x:c>
      <x:c r="C52" t="str">
        <x:v>PAP-011</x:v>
      </x:c>
      <x:c r="D52" t="str">
        <x:v>Microcentrifuge tubes</x:v>
      </x:c>
      <x:c r="E52" t="str">
        <x:v>1.5 mL, 500/pack</x:v>
      </x:c>
      <x:c r="F52" t="str">
        <x:v>Assay reagents</x:v>
      </x:c>
      <x:c r="G52" t="str">
        <x:v>SUP-01</x:v>
      </x:c>
      <x:c r="H52" t="str">
        <x:v>Sonoran Scientific Supply</x:v>
      </x:c>
      <x:c r="I52" s="28" t="n">
        <x:v>45684</x:v>
      </x:c>
      <x:c r="J52" s="28" t="n">
        <x:v>45693</x:v>
      </x:c>
      <x:c r="K52" s="28" t="n">
        <x:v>45693</x:v>
      </x:c>
      <x:c r="L52" s="32" t="n">
        <x:v>4</x:v>
      </x:c>
      <x:c r="M52" t="str">
        <x:v>pack</x:v>
      </x:c>
      <x:c r="N52" s="30" t="n">
        <x:v>34</x:v>
      </x:c>
      <x:c r="O52" s="30" t="n">
        <x:v>22.5</x:v>
      </x:c>
      <x:c r="P52" s="30" t="n">
        <x:f>L52*N52+O52</x:f>
        <x:v>158.5</x:v>
      </x:c>
      <x:c r="Q52" s="32" t="n">
        <x:f>J52-I52</x:f>
        <x:v>9</x:v>
      </x:c>
      <x:c r="R52" s="32" t="n">
        <x:f>IF(K52="","",K52-I52)</x:f>
        <x:v>9</x:v>
      </x:c>
      <x:c r="S52" s="32" t="n">
        <x:f>IF(K52="","",MAX(0,K52-J52))</x:f>
        <x:v>0</x:v>
      </x:c>
      <x:c r="T52" t="str">
        <x:f>IF(K52="","PENDING",IF(K52&lt;=J52,"ON_TIME","LATE"))</x:f>
        <x:v>ON_TIME</x:v>
      </x:c>
      <x:c r="U52" t="str">
        <x:v>ACCEPTED</x:v>
      </x:c>
      <x:c r="V52" t="str">
        <x:v>LOW</x:v>
      </x:c>
      <x:c r="W52" t="str">
        <x:v>SUP-07</x:v>
      </x:c>
      <x:c r="X52" t="str">
        <x:v>Quote-to-PO</x:v>
      </x:c>
      <x:c r="Y52" t="str">
        <x:v>Routine replenishment</x:v>
      </x:c>
      <x:c r="Z52" s="9" t="str">
        <x:v>SYNTHETIC_DEMO</x:v>
      </x:c>
    </x:row>
    <x:row r="53">
      <x:c r="A53" t="str">
        <x:v>SIM-UA-0052</x:v>
      </x:c>
      <x:c r="B53" t="str">
        <x:v>IMCD kidney-on-a-chip</x:v>
      </x:c>
      <x:c r="C53" t="str">
        <x:v>OOC-014</x:v>
      </x:c>
      <x:c r="D53" t="str">
        <x:v>Culture well plates</x:v>
      </x:c>
      <x:c r="E53" t="str">
        <x:v>24-well, sterile, 50/pack</x:v>
      </x:c>
      <x:c r="F53" t="str">
        <x:v>Cell culture</x:v>
      </x:c>
      <x:c r="G53" t="str">
        <x:v>SUP-02</x:v>
      </x:c>
      <x:c r="H53" t="str">
        <x:v>Desert BioReagents</x:v>
      </x:c>
      <x:c r="I53" s="28" t="n">
        <x:v>45685</x:v>
      </x:c>
      <x:c r="J53" s="28" t="n">
        <x:v>45690</x:v>
      </x:c>
      <x:c r="K53" s="28" t="n">
        <x:v>45690</x:v>
      </x:c>
      <x:c r="L53" s="32" t="n">
        <x:v>3</x:v>
      </x:c>
      <x:c r="M53" t="str">
        <x:v>pack</x:v>
      </x:c>
      <x:c r="N53" s="30" t="n">
        <x:v>120.2</x:v>
      </x:c>
      <x:c r="O53" s="30" t="n">
        <x:v>29</x:v>
      </x:c>
      <x:c r="P53" s="30" t="n">
        <x:f>L53*N53+O53</x:f>
        <x:v>389.6</x:v>
      </x:c>
      <x:c r="Q53" s="32" t="n">
        <x:f>J53-I53</x:f>
        <x:v>5</x:v>
      </x:c>
      <x:c r="R53" s="32" t="n">
        <x:f>IF(K53="","",K53-I53)</x:f>
        <x:v>5</x:v>
      </x:c>
      <x:c r="S53" s="32" t="n">
        <x:f>IF(K53="","",MAX(0,K53-J53))</x:f>
        <x:v>0</x:v>
      </x:c>
      <x:c r="T53" t="str">
        <x:f>IF(K53="","PENDING",IF(K53&lt;=J53,"ON_TIME","LATE"))</x:f>
        <x:v>ON_TIME</x:v>
      </x:c>
      <x:c r="U53" t="str">
        <x:v>ACCEPTED</x:v>
      </x:c>
      <x:c r="V53" t="str">
        <x:v>MEDIUM</x:v>
      </x:c>
      <x:c r="W53" t="str">
        <x:v>SUP-01</x:v>
      </x:c>
      <x:c r="X53" t="str">
        <x:v>Institutional catalog</x:v>
      </x:c>
      <x:c r="Y53" t="str">
        <x:v>Routine replenishment</x:v>
      </x:c>
      <x:c r="Z53" s="9" t="str">
        <x:v>SYNTHETIC_DEMO</x:v>
      </x:c>
    </x:row>
    <x:row r="54">
      <x:c r="A54" t="str">
        <x:v>SIM-UA-0053</x:v>
      </x:c>
      <x:c r="B54" t="str">
        <x:v>IMCD kidney-on-a-chip</x:v>
      </x:c>
      <x:c r="C54" t="str">
        <x:v>OOC-013</x:v>
      </x:c>
      <x:c r="D54" t="str">
        <x:v>Collagen coating solution</x:v>
      </x:c>
      <x:c r="E54" t="str">
        <x:v>Cell adhesion coating, 20 mL</x:v>
      </x:c>
      <x:c r="F54" t="str">
        <x:v>Cell culture</x:v>
      </x:c>
      <x:c r="G54" t="str">
        <x:v>SUP-01</x:v>
      </x:c>
      <x:c r="H54" t="str">
        <x:v>Sonoran Scientific Supply</x:v>
      </x:c>
      <x:c r="I54" s="28" t="n">
        <x:v>45689</x:v>
      </x:c>
      <x:c r="J54" s="28" t="n">
        <x:v>45693</x:v>
      </x:c>
      <x:c r="K54" s="28" t="n">
        <x:v>45693</x:v>
      </x:c>
      <x:c r="L54" s="32" t="n">
        <x:v>1</x:v>
      </x:c>
      <x:c r="M54" t="str">
        <x:v>bottle</x:v>
      </x:c>
      <x:c r="N54" s="30" t="n">
        <x:v>110.18</x:v>
      </x:c>
      <x:c r="O54" s="30" t="n">
        <x:v>8.5</x:v>
      </x:c>
      <x:c r="P54" s="30" t="n">
        <x:f>L54*N54+O54</x:f>
        <x:v>118.68</x:v>
      </x:c>
      <x:c r="Q54" s="32" t="n">
        <x:f>J54-I54</x:f>
        <x:v>4</x:v>
      </x:c>
      <x:c r="R54" s="32" t="n">
        <x:f>IF(K54="","",K54-I54)</x:f>
        <x:v>4</x:v>
      </x:c>
      <x:c r="S54" s="32" t="n">
        <x:f>IF(K54="","",MAX(0,K54-J54))</x:f>
        <x:v>0</x:v>
      </x:c>
      <x:c r="T54" t="str">
        <x:f>IF(K54="","PENDING",IF(K54&lt;=J54,"ON_TIME","LATE"))</x:f>
        <x:v>ON_TIME</x:v>
      </x:c>
      <x:c r="U54" t="str">
        <x:v>HOLD</x:v>
      </x:c>
      <x:c r="V54" t="str">
        <x:v>HIGH</x:v>
      </x:c>
      <x:c r="W54" t="str">
        <x:v>SUP-02</x:v>
      </x:c>
      <x:c r="X54" t="str">
        <x:v>Institutional catalog</x:v>
      </x:c>
      <x:c r="Y54" t="str">
        <x:v>Routine replenishment</x:v>
      </x:c>
      <x:c r="Z54" s="9" t="str">
        <x:v>SYNTHETIC_DEMO</x:v>
      </x:c>
    </x:row>
    <x:row r="55">
      <x:c r="A55" t="str">
        <x:v>SIM-UA-0054</x:v>
      </x:c>
      <x:c r="B55" t="str">
        <x:v>IMCD kidney-on-a-chip</x:v>
      </x:c>
      <x:c r="C55" t="str">
        <x:v>OOC-015</x:v>
      </x:c>
      <x:c r="D55" t="str">
        <x:v>Syringe filters</x:v>
      </x:c>
      <x:c r="E55" t="str">
        <x:v>0.22 µm, sterile, 50/pack</x:v>
      </x:c>
      <x:c r="F55" t="str">
        <x:v>Cell culture</x:v>
      </x:c>
      <x:c r="G55" t="str">
        <x:v>SUP-01</x:v>
      </x:c>
      <x:c r="H55" t="str">
        <x:v>Sonoran Scientific Supply</x:v>
      </x:c>
      <x:c r="I55" s="28" t="n">
        <x:v>45691</x:v>
      </x:c>
      <x:c r="J55" s="28" t="n">
        <x:v>45701</x:v>
      </x:c>
      <x:c r="K55" s="28" t="n">
        <x:v>45701</x:v>
      </x:c>
      <x:c r="L55" s="32" t="n">
        <x:v>1</x:v>
      </x:c>
      <x:c r="M55" t="str">
        <x:v>pack</x:v>
      </x:c>
      <x:c r="N55" s="30" t="n">
        <x:v>92.42</x:v>
      </x:c>
      <x:c r="O55" s="30" t="n">
        <x:v>0</x:v>
      </x:c>
      <x:c r="P55" s="30" t="n">
        <x:f>L55*N55+O55</x:f>
        <x:v>92.42</x:v>
      </x:c>
      <x:c r="Q55" s="32" t="n">
        <x:f>J55-I55</x:f>
        <x:v>10</x:v>
      </x:c>
      <x:c r="R55" s="32" t="n">
        <x:f>IF(K55="","",K55-I55)</x:f>
        <x:v>10</x:v>
      </x:c>
      <x:c r="S55" s="32" t="n">
        <x:f>IF(K55="","",MAX(0,K55-J55))</x:f>
        <x:v>0</x:v>
      </x:c>
      <x:c r="T55" t="str">
        <x:f>IF(K55="","PENDING",IF(K55&lt;=J55,"ON_TIME","LATE"))</x:f>
        <x:v>ON_TIME</x:v>
      </x:c>
      <x:c r="U55" t="str">
        <x:v>ACCEPTED</x:v>
      </x:c>
      <x:c r="V55" t="str">
        <x:v>MEDIUM</x:v>
      </x:c>
      <x:c r="W55" t="str">
        <x:v>SUP-02</x:v>
      </x:c>
      <x:c r="X55" t="str">
        <x:v>Quote-to-PO</x:v>
      </x:c>
      <x:c r="Y55" t="str"/>
      <x:c r="Z55" s="9" t="str">
        <x:v>SYNTHETIC_DEMO</x:v>
      </x:c>
    </x:row>
    <x:row r="56">
      <x:c r="A56" t="str">
        <x:v>SIM-UA-0055</x:v>
      </x:c>
      <x:c r="B56" t="str">
        <x:v>IMCD kidney-on-a-chip</x:v>
      </x:c>
      <x:c r="C56" t="str">
        <x:v>OOC-004</x:v>
      </x:c>
      <x:c r="D56" t="str">
        <x:v>Glass cover slips</x:v>
      </x:c>
      <x:c r="E56" t="str">
        <x:v>No. 1.5, 100/pack</x:v>
      </x:c>
      <x:c r="F56" t="str">
        <x:v>Chip fabrication</x:v>
      </x:c>
      <x:c r="G56" t="str">
        <x:v>SUP-04</x:v>
      </x:c>
      <x:c r="H56" t="str">
        <x:v>Canyon Microfabrication</x:v>
      </x:c>
      <x:c r="I56" s="28" t="n">
        <x:v>45692</x:v>
      </x:c>
      <x:c r="J56" s="28" t="n">
        <x:v>45705</x:v>
      </x:c>
      <x:c r="K56" s="28" t="n">
        <x:v>45705</x:v>
      </x:c>
      <x:c r="L56" s="32" t="n">
        <x:v>1</x:v>
      </x:c>
      <x:c r="M56" t="str">
        <x:v>pack</x:v>
      </x:c>
      <x:c r="N56" s="30" t="n">
        <x:v>44.55</x:v>
      </x:c>
      <x:c r="O56" s="30" t="n">
        <x:v>12</x:v>
      </x:c>
      <x:c r="P56" s="30" t="n">
        <x:f>L56*N56+O56</x:f>
        <x:v>56.55</x:v>
      </x:c>
      <x:c r="Q56" s="32" t="n">
        <x:f>J56-I56</x:f>
        <x:v>13</x:v>
      </x:c>
      <x:c r="R56" s="32" t="n">
        <x:f>IF(K56="","",K56-I56)</x:f>
        <x:v>13</x:v>
      </x:c>
      <x:c r="S56" s="32" t="n">
        <x:f>IF(K56="","",MAX(0,K56-J56))</x:f>
        <x:v>0</x:v>
      </x:c>
      <x:c r="T56" t="str">
        <x:f>IF(K56="","PENDING",IF(K56&lt;=J56,"ON_TIME","LATE"))</x:f>
        <x:v>ON_TIME</x:v>
      </x:c>
      <x:c r="U56" t="str">
        <x:v>ACCEPTED</x:v>
      </x:c>
      <x:c r="V56" t="str">
        <x:v>MEDIUM</x:v>
      </x:c>
      <x:c r="W56" t="str">
        <x:v>SUP-01</x:v>
      </x:c>
      <x:c r="X56" t="str">
        <x:v>Vendor web</x:v>
      </x:c>
      <x:c r="Y56" t="str">
        <x:v>Experiment schedule-driven reorder</x:v>
      </x:c>
      <x:c r="Z56" s="9" t="str">
        <x:v>SYNTHETIC_DEMO</x:v>
      </x:c>
    </x:row>
    <x:row r="57">
      <x:c r="A57" t="str">
        <x:v>SIM-UA-0056</x:v>
      </x:c>
      <x:c r="B57" t="str">
        <x:v>IMCD kidney-on-a-chip</x:v>
      </x:c>
      <x:c r="C57" t="str">
        <x:v>OOC-016</x:v>
      </x:c>
      <x:c r="D57" t="str">
        <x:v>Nitrile laboratory gloves</x:v>
      </x:c>
      <x:c r="E57" t="str">
        <x:v>Size M, powder-free, 100/box</x:v>
      </x:c>
      <x:c r="F57" t="str">
        <x:v>Cell culture</x:v>
      </x:c>
      <x:c r="G57" t="str">
        <x:v>SUP-01</x:v>
      </x:c>
      <x:c r="H57" t="str">
        <x:v>Sonoran Scientific Supply</x:v>
      </x:c>
      <x:c r="I57" s="28" t="n">
        <x:v>45694</x:v>
      </x:c>
      <x:c r="J57" s="28" t="n">
        <x:v>45701</x:v>
      </x:c>
      <x:c r="K57" s="28" t="n">
        <x:v>45700</x:v>
      </x:c>
      <x:c r="L57" s="32" t="n">
        <x:v>2</x:v>
      </x:c>
      <x:c r="M57" t="str">
        <x:v>box</x:v>
      </x:c>
      <x:c r="N57" s="30" t="n">
        <x:v>21.43</x:v>
      </x:c>
      <x:c r="O57" s="30" t="n">
        <x:v>12</x:v>
      </x:c>
      <x:c r="P57" s="30" t="n">
        <x:f>L57*N57+O57</x:f>
        <x:v>54.86</x:v>
      </x:c>
      <x:c r="Q57" s="32" t="n">
        <x:f>J57-I57</x:f>
        <x:v>7</x:v>
      </x:c>
      <x:c r="R57" s="32" t="n">
        <x:f>IF(K57="","",K57-I57)</x:f>
        <x:v>6</x:v>
      </x:c>
      <x:c r="S57" s="32" t="n">
        <x:f>IF(K57="","",MAX(0,K57-J57))</x:f>
        <x:v>0</x:v>
      </x:c>
      <x:c r="T57" t="str">
        <x:f>IF(K57="","PENDING",IF(K57&lt;=J57,"ON_TIME","LATE"))</x:f>
        <x:v>ON_TIME</x:v>
      </x:c>
      <x:c r="U57" t="str">
        <x:v>REJECTED</x:v>
      </x:c>
      <x:c r="V57" t="str">
        <x:v>LOW</x:v>
      </x:c>
      <x:c r="W57" t="str">
        <x:v>SUP-07</x:v>
      </x:c>
      <x:c r="X57" t="str">
        <x:v>Quote-to-PO</x:v>
      </x:c>
      <x:c r="Y57" t="str">
        <x:v>Routine replenishment</x:v>
      </x:c>
      <x:c r="Z57" s="9" t="str">
        <x:v>SYNTHETIC_DEMO</x:v>
      </x:c>
    </x:row>
    <x:row r="58">
      <x:c r="A58" t="str">
        <x:v>SIM-UA-0057</x:v>
      </x:c>
      <x:c r="B58" t="str">
        <x:v>Smartphone optical readout</x:v>
      </x:c>
      <x:c r="C58" t="str">
        <x:v>IMG-002</x:v>
      </x:c>
      <x:c r="D58" t="str">
        <x:v>Macro lens attachment</x:v>
      </x:c>
      <x:c r="E58" t="str">
        <x:v>Smartphone lens, manual clip mount</x:v>
      </x:c>
      <x:c r="F58" t="str">
        <x:v>Optics &amp; electronics</x:v>
      </x:c>
      <x:c r="G58" t="str">
        <x:v>SUP-07</x:v>
      </x:c>
      <x:c r="H58" t="str">
        <x:v>RapidLab Alternate Source</x:v>
      </x:c>
      <x:c r="I58" s="28" t="n">
        <x:v>45694</x:v>
      </x:c>
      <x:c r="J58" s="28" t="n">
        <x:v>45696</x:v>
      </x:c>
      <x:c r="K58" s="28" t="n">
        <x:v>45696</x:v>
      </x:c>
      <x:c r="L58" s="32" t="n">
        <x:v>1</x:v>
      </x:c>
      <x:c r="M58" t="str">
        <x:v>unit</x:v>
      </x:c>
      <x:c r="N58" s="30" t="n">
        <x:v>46.18</x:v>
      </x:c>
      <x:c r="O58" s="30" t="n">
        <x:v>8.5</x:v>
      </x:c>
      <x:c r="P58" s="30" t="n">
        <x:f>L58*N58+O58</x:f>
        <x:v>54.68</x:v>
      </x:c>
      <x:c r="Q58" s="32" t="n">
        <x:f>J58-I58</x:f>
        <x:v>2</x:v>
      </x:c>
      <x:c r="R58" s="32" t="n">
        <x:f>IF(K58="","",K58-I58)</x:f>
        <x:v>2</x:v>
      </x:c>
      <x:c r="S58" s="32" t="n">
        <x:f>IF(K58="","",MAX(0,K58-J58))</x:f>
        <x:v>0</x:v>
      </x:c>
      <x:c r="T58" t="str">
        <x:f>IF(K58="","PENDING",IF(K58&lt;=J58,"ON_TIME","LATE"))</x:f>
        <x:v>ON_TIME</x:v>
      </x:c>
      <x:c r="U58" t="str">
        <x:v>ACCEPTED</x:v>
      </x:c>
      <x:c r="V58" t="str">
        <x:v>MEDIUM</x:v>
      </x:c>
      <x:c r="W58" t="str">
        <x:v>SUP-06</x:v>
      </x:c>
      <x:c r="X58" t="str">
        <x:v>Quote-to-PO</x:v>
      </x:c>
      <x:c r="Y58" t="str">
        <x:v>Routine replenishment</x:v>
      </x:c>
      <x:c r="Z58" s="9" t="str">
        <x:v>SYNTHETIC_DEMO</x:v>
      </x:c>
    </x:row>
    <x:row r="59">
      <x:c r="A59" t="str">
        <x:v>SIM-UA-0058</x:v>
      </x:c>
      <x:c r="B59" t="str">
        <x:v>Paper microfluidics (SALSA)</x:v>
      </x:c>
      <x:c r="C59" t="str">
        <x:v>PAP-006</x:v>
      </x:c>
      <x:c r="D59" t="str">
        <x:v>Double-sided adhesive film</x:v>
      </x:c>
      <x:c r="E59" t="str">
        <x:v>Medical/optical grade, 50 sheets</x:v>
      </x:c>
      <x:c r="F59" t="str">
        <x:v>Paper &amp; membrane</x:v>
      </x:c>
      <x:c r="G59" t="str">
        <x:v>SUP-03</x:v>
      </x:c>
      <x:c r="H59" t="str">
        <x:v>Catalina Paper &amp; Membrane</x:v>
      </x:c>
      <x:c r="I59" s="28" t="n">
        <x:v>45694</x:v>
      </x:c>
      <x:c r="J59" s="28" t="n">
        <x:v>45699</x:v>
      </x:c>
      <x:c r="K59" s="28" t="n">
        <x:v>45706</x:v>
      </x:c>
      <x:c r="L59" s="32" t="n">
        <x:v>2</x:v>
      </x:c>
      <x:c r="M59" t="str">
        <x:v>pack</x:v>
      </x:c>
      <x:c r="N59" s="30" t="n">
        <x:v>102.03</x:v>
      </x:c>
      <x:c r="O59" s="30" t="n">
        <x:v>12</x:v>
      </x:c>
      <x:c r="P59" s="30" t="n">
        <x:f>L59*N59+O59</x:f>
        <x:v>216.06</x:v>
      </x:c>
      <x:c r="Q59" s="32" t="n">
        <x:f>J59-I59</x:f>
        <x:v>5</x:v>
      </x:c>
      <x:c r="R59" s="32" t="n">
        <x:f>IF(K59="","",K59-I59)</x:f>
        <x:v>12</x:v>
      </x:c>
      <x:c r="S59" s="32" t="n">
        <x:f>IF(K59="","",MAX(0,K59-J59))</x:f>
        <x:v>7</x:v>
      </x:c>
      <x:c r="T59" t="str">
        <x:f>IF(K59="","PENDING",IF(K59&lt;=J59,"ON_TIME","LATE"))</x:f>
        <x:v>LATE</x:v>
      </x:c>
      <x:c r="U59" t="str">
        <x:v>ACCEPTED</x:v>
      </x:c>
      <x:c r="V59" t="str">
        <x:v>MEDIUM</x:v>
      </x:c>
      <x:c r="W59" t="str">
        <x:v>SUP-04</x:v>
      </x:c>
      <x:c r="X59" t="str">
        <x:v>Quote-to-PO</x:v>
      </x:c>
      <x:c r="Y59" t="str">
        <x:v>Illustrative delivery delay; review alternate sourcing</x:v>
      </x:c>
      <x:c r="Z59" s="9" t="str">
        <x:v>SYNTHETIC_DEMO</x:v>
      </x:c>
    </x:row>
    <x:row r="60">
      <x:c r="A60" t="str">
        <x:v>SIM-UA-0059</x:v>
      </x:c>
      <x:c r="B60" t="str">
        <x:v>IMCD kidney-on-a-chip</x:v>
      </x:c>
      <x:c r="C60" t="str">
        <x:v>OOC-001</x:v>
      </x:c>
      <x:c r="D60" t="str">
        <x:v>PDMS elastomer kit</x:v>
      </x:c>
      <x:c r="E60" t="str">
        <x:v>2-part silicone elastomer, approx. 1 kg</x:v>
      </x:c>
      <x:c r="F60" t="str">
        <x:v>Chip fabrication</x:v>
      </x:c>
      <x:c r="G60" t="str">
        <x:v>SUP-04</x:v>
      </x:c>
      <x:c r="H60" t="str">
        <x:v>Canyon Microfabrication</x:v>
      </x:c>
      <x:c r="I60" s="28" t="n">
        <x:v>45695</x:v>
      </x:c>
      <x:c r="J60" s="28" t="n">
        <x:v>45707</x:v>
      </x:c>
      <x:c r="K60" s="28" t="n">
        <x:v>45707</x:v>
      </x:c>
      <x:c r="L60" s="32" t="n">
        <x:v>1</x:v>
      </x:c>
      <x:c r="M60" t="str">
        <x:v>kit</x:v>
      </x:c>
      <x:c r="N60" s="30" t="n">
        <x:v>236.64</x:v>
      </x:c>
      <x:c r="O60" s="30" t="n">
        <x:v>22.5</x:v>
      </x:c>
      <x:c r="P60" s="30" t="n">
        <x:f>L60*N60+O60</x:f>
        <x:v>259.14</x:v>
      </x:c>
      <x:c r="Q60" s="32" t="n">
        <x:f>J60-I60</x:f>
        <x:v>12</x:v>
      </x:c>
      <x:c r="R60" s="32" t="n">
        <x:f>IF(K60="","",K60-I60)</x:f>
        <x:v>12</x:v>
      </x:c>
      <x:c r="S60" s="32" t="n">
        <x:f>IF(K60="","",MAX(0,K60-J60))</x:f>
        <x:v>0</x:v>
      </x:c>
      <x:c r="T60" t="str">
        <x:f>IF(K60="","PENDING",IF(K60&lt;=J60,"ON_TIME","LATE"))</x:f>
        <x:v>ON_TIME</x:v>
      </x:c>
      <x:c r="U60" t="str">
        <x:v>ACCEPTED</x:v>
      </x:c>
      <x:c r="V60" t="str">
        <x:v>HIGH</x:v>
      </x:c>
      <x:c r="W60" t="str">
        <x:v>SUP-07</x:v>
      </x:c>
      <x:c r="X60" t="str">
        <x:v>Institutional catalog</x:v>
      </x:c>
      <x:c r="Y60" t="str"/>
      <x:c r="Z60" s="9" t="str">
        <x:v>SYNTHETIC_DEMO</x:v>
      </x:c>
    </x:row>
    <x:row r="61">
      <x:c r="A61" t="str">
        <x:v>SIM-UA-0060</x:v>
      </x:c>
      <x:c r="B61" t="str">
        <x:v>Paper microfluidics (SALSA)</x:v>
      </x:c>
      <x:c r="C61" t="str">
        <x:v>PAP-002</x:v>
      </x:c>
      <x:c r="D61" t="str">
        <x:v>Chromatography paper</x:v>
      </x:c>
      <x:c r="E61" t="str">
        <x:v>Grade 1 CHR, 100 sheets</x:v>
      </x:c>
      <x:c r="F61" t="str">
        <x:v>Paper &amp; membrane</x:v>
      </x:c>
      <x:c r="G61" t="str">
        <x:v>SUP-03</x:v>
      </x:c>
      <x:c r="H61" t="str">
        <x:v>Catalina Paper &amp; Membrane</x:v>
      </x:c>
      <x:c r="I61" s="28" t="n">
        <x:v>45695</x:v>
      </x:c>
      <x:c r="J61" s="28" t="n">
        <x:v>45704</x:v>
      </x:c>
      <x:c r="K61" s="28" t="n">
        <x:v>45704</x:v>
      </x:c>
      <x:c r="L61" s="32" t="n">
        <x:v>1</x:v>
      </x:c>
      <x:c r="M61" t="str">
        <x:v>pack</x:v>
      </x:c>
      <x:c r="N61" s="30" t="n">
        <x:v>75.52</x:v>
      </x:c>
      <x:c r="O61" s="30" t="n">
        <x:v>18</x:v>
      </x:c>
      <x:c r="P61" s="30" t="n">
        <x:f>L61*N61+O61</x:f>
        <x:v>93.52</x:v>
      </x:c>
      <x:c r="Q61" s="32" t="n">
        <x:f>J61-I61</x:f>
        <x:v>9</x:v>
      </x:c>
      <x:c r="R61" s="32" t="n">
        <x:f>IF(K61="","",K61-I61)</x:f>
        <x:v>9</x:v>
      </x:c>
      <x:c r="S61" s="32" t="n">
        <x:f>IF(K61="","",MAX(0,K61-J61))</x:f>
        <x:v>0</x:v>
      </x:c>
      <x:c r="T61" t="str">
        <x:f>IF(K61="","PENDING",IF(K61&lt;=J61,"ON_TIME","LATE"))</x:f>
        <x:v>ON_TIME</x:v>
      </x:c>
      <x:c r="U61" t="str">
        <x:v>ACCEPTED</x:v>
      </x:c>
      <x:c r="V61" t="str">
        <x:v>MEDIUM</x:v>
      </x:c>
      <x:c r="W61" t="str">
        <x:v>SUP-01</x:v>
      </x:c>
      <x:c r="X61" t="str">
        <x:v>Institutional catalog</x:v>
      </x:c>
      <x:c r="Y61" t="str"/>
      <x:c r="Z61" s="9" t="str">
        <x:v>SYNTHETIC_DEMO</x:v>
      </x:c>
    </x:row>
    <x:row r="62">
      <x:c r="A62" t="str">
        <x:v>SIM-UA-0061</x:v>
      </x:c>
      <x:c r="B62" t="str">
        <x:v>IMCD kidney-on-a-chip</x:v>
      </x:c>
      <x:c r="C62" t="str">
        <x:v>OOC-002</x:v>
      </x:c>
      <x:c r="D62" t="str">
        <x:v>Porous membrane film</x:v>
      </x:c>
      <x:c r="E62" t="str">
        <x:v>0.4 µm, microfluidic support membrane</x:v>
      </x:c>
      <x:c r="F62" t="str">
        <x:v>Chip fabrication</x:v>
      </x:c>
      <x:c r="G62" t="str">
        <x:v>SUP-04</x:v>
      </x:c>
      <x:c r="H62" t="str">
        <x:v>Canyon Microfabrication</x:v>
      </x:c>
      <x:c r="I62" s="28" t="n">
        <x:v>45696</x:v>
      </x:c>
      <x:c r="J62" s="28" t="n">
        <x:v>45708</x:v>
      </x:c>
      <x:c r="K62" s="28" t="n">
        <x:v>45725</x:v>
      </x:c>
      <x:c r="L62" s="32" t="n">
        <x:v>1</x:v>
      </x:c>
      <x:c r="M62" t="str">
        <x:v>pack</x:v>
      </x:c>
      <x:c r="N62" s="30" t="n">
        <x:v>189.49</x:v>
      </x:c>
      <x:c r="O62" s="30" t="n">
        <x:v>15</x:v>
      </x:c>
      <x:c r="P62" s="30" t="n">
        <x:f>L62*N62+O62</x:f>
        <x:v>204.49</x:v>
      </x:c>
      <x:c r="Q62" s="32" t="n">
        <x:f>J62-I62</x:f>
        <x:v>12</x:v>
      </x:c>
      <x:c r="R62" s="32" t="n">
        <x:f>IF(K62="","",K62-I62)</x:f>
        <x:v>29</x:v>
      </x:c>
      <x:c r="S62" s="32" t="n">
        <x:f>IF(K62="","",MAX(0,K62-J62))</x:f>
        <x:v>17</x:v>
      </x:c>
      <x:c r="T62" t="str">
        <x:f>IF(K62="","PENDING",IF(K62&lt;=J62,"ON_TIME","LATE"))</x:f>
        <x:v>LATE</x:v>
      </x:c>
      <x:c r="U62" t="str">
        <x:v>ACCEPTED</x:v>
      </x:c>
      <x:c r="V62" t="str">
        <x:v>HIGH</x:v>
      </x:c>
      <x:c r="W62" t="str">
        <x:v>SUP-01</x:v>
      </x:c>
      <x:c r="X62" t="str">
        <x:v>Institutional catalog</x:v>
      </x:c>
      <x:c r="Y62" t="str">
        <x:v>Illustrative backorder/long lead-time case; supplier capacity unverified</x:v>
      </x:c>
      <x:c r="Z62" s="9" t="str">
        <x:v>SYNTHETIC_DEMO</x:v>
      </x:c>
    </x:row>
    <x:row r="63">
      <x:c r="A63" t="str">
        <x:v>SIM-UA-0062</x:v>
      </x:c>
      <x:c r="B63" t="str">
        <x:v>IMCD kidney-on-a-chip</x:v>
      </x:c>
      <x:c r="C63" t="str">
        <x:v>OOC-015</x:v>
      </x:c>
      <x:c r="D63" t="str">
        <x:v>Syringe filters</x:v>
      </x:c>
      <x:c r="E63" t="str">
        <x:v>0.22 µm, sterile, 50/pack</x:v>
      </x:c>
      <x:c r="F63" t="str">
        <x:v>Cell culture</x:v>
      </x:c>
      <x:c r="G63" t="str">
        <x:v>SUP-01</x:v>
      </x:c>
      <x:c r="H63" t="str">
        <x:v>Sonoran Scientific Supply</x:v>
      </x:c>
      <x:c r="I63" s="28" t="n">
        <x:v>45697</x:v>
      </x:c>
      <x:c r="J63" s="28" t="n">
        <x:v>45703</x:v>
      </x:c>
      <x:c r="K63" s="28" t="n">
        <x:v>45703</x:v>
      </x:c>
      <x:c r="L63" s="32" t="n">
        <x:v>3</x:v>
      </x:c>
      <x:c r="M63" t="str">
        <x:v>pack</x:v>
      </x:c>
      <x:c r="N63" s="30" t="n">
        <x:v>86.83</x:v>
      </x:c>
      <x:c r="O63" s="30" t="n">
        <x:v>22.5</x:v>
      </x:c>
      <x:c r="P63" s="30" t="n">
        <x:f>L63*N63+O63</x:f>
        <x:v>282.99</x:v>
      </x:c>
      <x:c r="Q63" s="32" t="n">
        <x:f>J63-I63</x:f>
        <x:v>6</x:v>
      </x:c>
      <x:c r="R63" s="32" t="n">
        <x:f>IF(K63="","",K63-I63)</x:f>
        <x:v>6</x:v>
      </x:c>
      <x:c r="S63" s="32" t="n">
        <x:f>IF(K63="","",MAX(0,K63-J63))</x:f>
        <x:v>0</x:v>
      </x:c>
      <x:c r="T63" t="str">
        <x:f>IF(K63="","PENDING",IF(K63&lt;=J63,"ON_TIME","LATE"))</x:f>
        <x:v>ON_TIME</x:v>
      </x:c>
      <x:c r="U63" t="str">
        <x:v>HOLD</x:v>
      </x:c>
      <x:c r="V63" t="str">
        <x:v>MEDIUM</x:v>
      </x:c>
      <x:c r="W63" t="str">
        <x:v>SUP-02</x:v>
      </x:c>
      <x:c r="X63" t="str">
        <x:v>Vendor web</x:v>
      </x:c>
      <x:c r="Y63" t="str">
        <x:v>Experiment schedule-driven reorder</x:v>
      </x:c>
      <x:c r="Z63" s="9" t="str">
        <x:v>SYNTHETIC_DEMO</x:v>
      </x:c>
    </x:row>
    <x:row r="64">
      <x:c r="A64" t="str">
        <x:v>SIM-UA-0063</x:v>
      </x:c>
      <x:c r="B64" t="str">
        <x:v>Paper microfluidics (SALSA)</x:v>
      </x:c>
      <x:c r="C64" t="str">
        <x:v>PAP-001</x:v>
      </x:c>
      <x:c r="D64" t="str">
        <x:v>Cellulose filter paper</x:v>
      </x:c>
      <x:c r="E64" t="str">
        <x:v>Grade 1, 100 sheets</x:v>
      </x:c>
      <x:c r="F64" t="str">
        <x:v>Paper &amp; membrane</x:v>
      </x:c>
      <x:c r="G64" t="str">
        <x:v>SUP-07</x:v>
      </x:c>
      <x:c r="H64" t="str">
        <x:v>RapidLab Alternate Source</x:v>
      </x:c>
      <x:c r="I64" s="28" t="n">
        <x:v>45698</x:v>
      </x:c>
      <x:c r="J64" s="28" t="n">
        <x:v>45700</x:v>
      </x:c>
      <x:c r="K64" s="28" t="n">
        <x:v>45699</x:v>
      </x:c>
      <x:c r="L64" s="32" t="n">
        <x:v>1</x:v>
      </x:c>
      <x:c r="M64" t="str">
        <x:v>pack</x:v>
      </x:c>
      <x:c r="N64" s="30" t="n">
        <x:v>48.82</x:v>
      </x:c>
      <x:c r="O64" s="30" t="n">
        <x:v>0</x:v>
      </x:c>
      <x:c r="P64" s="30" t="n">
        <x:f>L64*N64+O64</x:f>
        <x:v>48.82</x:v>
      </x:c>
      <x:c r="Q64" s="32" t="n">
        <x:f>J64-I64</x:f>
        <x:v>2</x:v>
      </x:c>
      <x:c r="R64" s="32" t="n">
        <x:f>IF(K64="","",K64-I64)</x:f>
        <x:v>1</x:v>
      </x:c>
      <x:c r="S64" s="32" t="n">
        <x:f>IF(K64="","",MAX(0,K64-J64))</x:f>
        <x:v>0</x:v>
      </x:c>
      <x:c r="T64" t="str">
        <x:f>IF(K64="","PENDING",IF(K64&lt;=J64,"ON_TIME","LATE"))</x:f>
        <x:v>ON_TIME</x:v>
      </x:c>
      <x:c r="U64" t="str">
        <x:v>ACCEPTED</x:v>
      </x:c>
      <x:c r="V64" t="str">
        <x:v>MEDIUM</x:v>
      </x:c>
      <x:c r="W64" t="str">
        <x:v>SUP-03</x:v>
      </x:c>
      <x:c r="X64" t="str">
        <x:v>Institutional catalog</x:v>
      </x:c>
      <x:c r="Y64" t="str">
        <x:v>Prototype iteration demand</x:v>
      </x:c>
      <x:c r="Z64" s="9" t="str">
        <x:v>SYNTHETIC_DEMO</x:v>
      </x:c>
    </x:row>
    <x:row r="65">
      <x:c r="A65" t="str">
        <x:v>SIM-UA-0064</x:v>
      </x:c>
      <x:c r="B65" t="str">
        <x:v>IMCD kidney-on-a-chip</x:v>
      </x:c>
      <x:c r="C65" t="str">
        <x:v>OOC-011</x:v>
      </x:c>
      <x:c r="D65" t="str">
        <x:v>Penicillin-streptomycin</x:v>
      </x:c>
      <x:c r="E65" t="str">
        <x:v>100 mL, 100x solution</x:v>
      </x:c>
      <x:c r="F65" t="str">
        <x:v>Cell culture</x:v>
      </x:c>
      <x:c r="G65" t="str">
        <x:v>SUP-02</x:v>
      </x:c>
      <x:c r="H65" t="str">
        <x:v>Desert BioReagents</x:v>
      </x:c>
      <x:c r="I65" s="28" t="n">
        <x:v>45698</x:v>
      </x:c>
      <x:c r="J65" s="28" t="n">
        <x:v>45704</x:v>
      </x:c>
      <x:c r="K65" s="28" t="n">
        <x:v>45707</x:v>
      </x:c>
      <x:c r="L65" s="32" t="n">
        <x:v>1</x:v>
      </x:c>
      <x:c r="M65" t="str">
        <x:v>bottle</x:v>
      </x:c>
      <x:c r="N65" s="30" t="n">
        <x:v>46.06</x:v>
      </x:c>
      <x:c r="O65" s="30" t="n">
        <x:v>15</x:v>
      </x:c>
      <x:c r="P65" s="30" t="n">
        <x:f>L65*N65+O65</x:f>
        <x:v>61.06</x:v>
      </x:c>
      <x:c r="Q65" s="32" t="n">
        <x:f>J65-I65</x:f>
        <x:v>6</x:v>
      </x:c>
      <x:c r="R65" s="32" t="n">
        <x:f>IF(K65="","",K65-I65)</x:f>
        <x:v>9</x:v>
      </x:c>
      <x:c r="S65" s="32" t="n">
        <x:f>IF(K65="","",MAX(0,K65-J65))</x:f>
        <x:v>3</x:v>
      </x:c>
      <x:c r="T65" t="str">
        <x:f>IF(K65="","PENDING",IF(K65&lt;=J65,"ON_TIME","LATE"))</x:f>
        <x:v>LATE</x:v>
      </x:c>
      <x:c r="U65" t="str">
        <x:v>ACCEPTED</x:v>
      </x:c>
      <x:c r="V65" t="str">
        <x:v>MEDIUM</x:v>
      </x:c>
      <x:c r="W65" t="str">
        <x:v>SUP-01</x:v>
      </x:c>
      <x:c r="X65" t="str">
        <x:v>Vendor web</x:v>
      </x:c>
      <x:c r="Y65" t="str"/>
      <x:c r="Z65" s="9" t="str">
        <x:v>SYNTHETIC_DEMO</x:v>
      </x:c>
    </x:row>
    <x:row r="66">
      <x:c r="A66" t="str">
        <x:v>SIM-UA-0065</x:v>
      </x:c>
      <x:c r="B66" t="str">
        <x:v>IMCD kidney-on-a-chip</x:v>
      </x:c>
      <x:c r="C66" t="str">
        <x:v>OOC-003</x:v>
      </x:c>
      <x:c r="D66" t="str">
        <x:v>Microscope glass slides</x:v>
      </x:c>
      <x:c r="E66" t="str">
        <x:v>75 × 25 mm, 72/box</x:v>
      </x:c>
      <x:c r="F66" t="str">
        <x:v>Chip fabrication</x:v>
      </x:c>
      <x:c r="G66" t="str">
        <x:v>SUP-04</x:v>
      </x:c>
      <x:c r="H66" t="str">
        <x:v>Canyon Microfabrication</x:v>
      </x:c>
      <x:c r="I66" s="28" t="n">
        <x:v>45701</x:v>
      </x:c>
      <x:c r="J66" s="28" t="n">
        <x:v>45710</x:v>
      </x:c>
      <x:c r="K66" s="28" t="n">
        <x:v>45710</x:v>
      </x:c>
      <x:c r="L66" s="32" t="n">
        <x:v>1</x:v>
      </x:c>
      <x:c r="M66" t="str">
        <x:v>box</x:v>
      </x:c>
      <x:c r="N66" s="30" t="n">
        <x:v>36.22</x:v>
      </x:c>
      <x:c r="O66" s="30" t="n">
        <x:v>0</x:v>
      </x:c>
      <x:c r="P66" s="30" t="n">
        <x:f>L66*N66+O66</x:f>
        <x:v>36.22</x:v>
      </x:c>
      <x:c r="Q66" s="32" t="n">
        <x:f>J66-I66</x:f>
        <x:v>9</x:v>
      </x:c>
      <x:c r="R66" s="32" t="n">
        <x:f>IF(K66="","",K66-I66)</x:f>
        <x:v>9</x:v>
      </x:c>
      <x:c r="S66" s="32" t="n">
        <x:f>IF(K66="","",MAX(0,K66-J66))</x:f>
        <x:v>0</x:v>
      </x:c>
      <x:c r="T66" t="str">
        <x:f>IF(K66="","PENDING",IF(K66&lt;=J66,"ON_TIME","LATE"))</x:f>
        <x:v>ON_TIME</x:v>
      </x:c>
      <x:c r="U66" t="str">
        <x:v>ACCEPTED</x:v>
      </x:c>
      <x:c r="V66" t="str">
        <x:v>MEDIUM</x:v>
      </x:c>
      <x:c r="W66" t="str">
        <x:v>SUP-01</x:v>
      </x:c>
      <x:c r="X66" t="str">
        <x:v>Vendor web</x:v>
      </x:c>
      <x:c r="Y66" t="str">
        <x:v>Experiment schedule-driven reorder</x:v>
      </x:c>
      <x:c r="Z66" s="9" t="str">
        <x:v>SYNTHETIC_DEMO</x:v>
      </x:c>
    </x:row>
    <x:row r="67">
      <x:c r="A67" t="str">
        <x:v>SIM-UA-0066</x:v>
      </x:c>
      <x:c r="B67" t="str">
        <x:v>Paper microfluidics (SALSA)</x:v>
      </x:c>
      <x:c r="C67" t="str">
        <x:v>PAP-010</x:v>
      </x:c>
      <x:c r="D67" t="str">
        <x:v>Fluorescein sodium salt</x:v>
      </x:c>
      <x:c r="E67" t="str">
        <x:v>Fluorescence reference reagent, 5 g</x:v>
      </x:c>
      <x:c r="F67" t="str">
        <x:v>Assay reagents</x:v>
      </x:c>
      <x:c r="G67" t="str">
        <x:v>SUP-01</x:v>
      </x:c>
      <x:c r="H67" t="str">
        <x:v>Sonoran Scientific Supply</x:v>
      </x:c>
      <x:c r="I67" s="28" t="n">
        <x:v>45703</x:v>
      </x:c>
      <x:c r="J67" s="28" t="n">
        <x:v>45713</x:v>
      </x:c>
      <x:c r="K67" s="28" t="n">
        <x:v>45713</x:v>
      </x:c>
      <x:c r="L67" s="32" t="n">
        <x:v>1</x:v>
      </x:c>
      <x:c r="M67" t="str">
        <x:v>bottle</x:v>
      </x:c>
      <x:c r="N67" s="30" t="n">
        <x:v>83.23</x:v>
      </x:c>
      <x:c r="O67" s="30" t="n">
        <x:v>15</x:v>
      </x:c>
      <x:c r="P67" s="30" t="n">
        <x:f>L67*N67+O67</x:f>
        <x:v>98.23</x:v>
      </x:c>
      <x:c r="Q67" s="32" t="n">
        <x:f>J67-I67</x:f>
        <x:v>10</x:v>
      </x:c>
      <x:c r="R67" s="32" t="n">
        <x:f>IF(K67="","",K67-I67)</x:f>
        <x:v>10</x:v>
      </x:c>
      <x:c r="S67" s="32" t="n">
        <x:f>IF(K67="","",MAX(0,K67-J67))</x:f>
        <x:v>0</x:v>
      </x:c>
      <x:c r="T67" t="str">
        <x:f>IF(K67="","PENDING",IF(K67&lt;=J67,"ON_TIME","LATE"))</x:f>
        <x:v>ON_TIME</x:v>
      </x:c>
      <x:c r="U67" t="str">
        <x:v>ACCEPTED</x:v>
      </x:c>
      <x:c r="V67" t="str">
        <x:v>MEDIUM</x:v>
      </x:c>
      <x:c r="W67" t="str">
        <x:v>SUP-02</x:v>
      </x:c>
      <x:c r="X67" t="str">
        <x:v>Institutional catalog</x:v>
      </x:c>
      <x:c r="Y67" t="str">
        <x:v>Routine replenishment</x:v>
      </x:c>
      <x:c r="Z67" s="9" t="str">
        <x:v>SYNTHETIC_DEMO</x:v>
      </x:c>
    </x:row>
    <x:row r="68">
      <x:c r="A68" t="str">
        <x:v>SIM-UA-0067</x:v>
      </x:c>
      <x:c r="B68" t="str">
        <x:v>Paper microfluidics (SALSA)</x:v>
      </x:c>
      <x:c r="C68" t="str">
        <x:v>PAP-011</x:v>
      </x:c>
      <x:c r="D68" t="str">
        <x:v>Microcentrifuge tubes</x:v>
      </x:c>
      <x:c r="E68" t="str">
        <x:v>1.5 mL, 500/pack</x:v>
      </x:c>
      <x:c r="F68" t="str">
        <x:v>Assay reagents</x:v>
      </x:c>
      <x:c r="G68" t="str">
        <x:v>SUP-01</x:v>
      </x:c>
      <x:c r="H68" t="str">
        <x:v>Sonoran Scientific Supply</x:v>
      </x:c>
      <x:c r="I68" s="28" t="n">
        <x:v>45704</x:v>
      </x:c>
      <x:c r="J68" s="28" t="n">
        <x:v>45712</x:v>
      </x:c>
      <x:c r="K68" s="28" t="n">
        <x:v>45712</x:v>
      </x:c>
      <x:c r="L68" s="32" t="n">
        <x:v>2</x:v>
      </x:c>
      <x:c r="M68" t="str">
        <x:v>pack</x:v>
      </x:c>
      <x:c r="N68" s="30" t="n">
        <x:v>33.01</x:v>
      </x:c>
      <x:c r="O68" s="30" t="n">
        <x:v>29</x:v>
      </x:c>
      <x:c r="P68" s="30" t="n">
        <x:f>L68*N68+O68</x:f>
        <x:v>95.02</x:v>
      </x:c>
      <x:c r="Q68" s="32" t="n">
        <x:f>J68-I68</x:f>
        <x:v>8</x:v>
      </x:c>
      <x:c r="R68" s="32" t="n">
        <x:f>IF(K68="","",K68-I68)</x:f>
        <x:v>8</x:v>
      </x:c>
      <x:c r="S68" s="32" t="n">
        <x:f>IF(K68="","",MAX(0,K68-J68))</x:f>
        <x:v>0</x:v>
      </x:c>
      <x:c r="T68" t="str">
        <x:f>IF(K68="","PENDING",IF(K68&lt;=J68,"ON_TIME","LATE"))</x:f>
        <x:v>ON_TIME</x:v>
      </x:c>
      <x:c r="U68" t="str">
        <x:v>ACCEPTED</x:v>
      </x:c>
      <x:c r="V68" t="str">
        <x:v>LOW</x:v>
      </x:c>
      <x:c r="W68" t="str">
        <x:v>SUP-07</x:v>
      </x:c>
      <x:c r="X68" t="str">
        <x:v>Institutional catalog</x:v>
      </x:c>
      <x:c r="Y68" t="str">
        <x:v>Experiment schedule-driven reorder</x:v>
      </x:c>
      <x:c r="Z68" s="9" t="str">
        <x:v>SYNTHETIC_DEMO</x:v>
      </x:c>
    </x:row>
    <x:row r="69">
      <x:c r="A69" t="str">
        <x:v>SIM-UA-0068</x:v>
      </x:c>
      <x:c r="B69" t="str">
        <x:v>IMCD kidney-on-a-chip</x:v>
      </x:c>
      <x:c r="C69" t="str">
        <x:v>OOC-010</x:v>
      </x:c>
      <x:c r="D69" t="str">
        <x:v>Fetal bovine serum</x:v>
      </x:c>
      <x:c r="E69" t="str">
        <x:v>500 mL, cell culture grade</x:v>
      </x:c>
      <x:c r="F69" t="str">
        <x:v>Cell culture</x:v>
      </x:c>
      <x:c r="G69" t="str">
        <x:v>SUP-01</x:v>
      </x:c>
      <x:c r="H69" t="str">
        <x:v>Sonoran Scientific Supply</x:v>
      </x:c>
      <x:c r="I69" s="28" t="n">
        <x:v>45704</x:v>
      </x:c>
      <x:c r="J69" s="28" t="n">
        <x:v>45710</x:v>
      </x:c>
      <x:c r="K69" s="28" t="n">
        <x:v>45713</x:v>
      </x:c>
      <x:c r="L69" s="32" t="n">
        <x:v>1</x:v>
      </x:c>
      <x:c r="M69" t="str">
        <x:v>bottle</x:v>
      </x:c>
      <x:c r="N69" s="30" t="n">
        <x:v>417.01</x:v>
      </x:c>
      <x:c r="O69" s="30" t="n">
        <x:v>8.5</x:v>
      </x:c>
      <x:c r="P69" s="30" t="n">
        <x:f>L69*N69+O69</x:f>
        <x:v>425.51</x:v>
      </x:c>
      <x:c r="Q69" s="32" t="n">
        <x:f>J69-I69</x:f>
        <x:v>6</x:v>
      </x:c>
      <x:c r="R69" s="32" t="n">
        <x:f>IF(K69="","",K69-I69)</x:f>
        <x:v>9</x:v>
      </x:c>
      <x:c r="S69" s="32" t="n">
        <x:f>IF(K69="","",MAX(0,K69-J69))</x:f>
        <x:v>3</x:v>
      </x:c>
      <x:c r="T69" t="str">
        <x:f>IF(K69="","PENDING",IF(K69&lt;=J69,"ON_TIME","LATE"))</x:f>
        <x:v>LATE</x:v>
      </x:c>
      <x:c r="U69" t="str">
        <x:v>ACCEPTED</x:v>
      </x:c>
      <x:c r="V69" t="str">
        <x:v>HIGH</x:v>
      </x:c>
      <x:c r="W69" t="str">
        <x:v>SUP-02</x:v>
      </x:c>
      <x:c r="X69" t="str">
        <x:v>Institutional catalog</x:v>
      </x:c>
      <x:c r="Y69" t="str"/>
      <x:c r="Z69" s="9" t="str">
        <x:v>SYNTHETIC_DEMO</x:v>
      </x:c>
    </x:row>
    <x:row r="70">
      <x:c r="A70" t="str">
        <x:v>SIM-UA-0069</x:v>
      </x:c>
      <x:c r="B70" t="str">
        <x:v>IMCD kidney-on-a-chip</x:v>
      </x:c>
      <x:c r="C70" t="str">
        <x:v>OOC-002</x:v>
      </x:c>
      <x:c r="D70" t="str">
        <x:v>Porous membrane film</x:v>
      </x:c>
      <x:c r="E70" t="str">
        <x:v>0.4 µm, microfluidic support membrane</x:v>
      </x:c>
      <x:c r="F70" t="str">
        <x:v>Chip fabrication</x:v>
      </x:c>
      <x:c r="G70" t="str">
        <x:v>SUP-04</x:v>
      </x:c>
      <x:c r="H70" t="str">
        <x:v>Canyon Microfabrication</x:v>
      </x:c>
      <x:c r="I70" s="28" t="n">
        <x:v>45705</x:v>
      </x:c>
      <x:c r="J70" s="28" t="n">
        <x:v>45717</x:v>
      </x:c>
      <x:c r="K70" s="28" t="n">
        <x:v>45730</x:v>
      </x:c>
      <x:c r="L70" s="32" t="n">
        <x:v>1</x:v>
      </x:c>
      <x:c r="M70" t="str">
        <x:v>pack</x:v>
      </x:c>
      <x:c r="N70" s="30" t="n">
        <x:v>187.85</x:v>
      </x:c>
      <x:c r="O70" s="30" t="n">
        <x:v>0</x:v>
      </x:c>
      <x:c r="P70" s="30" t="n">
        <x:f>L70*N70+O70</x:f>
        <x:v>187.85</x:v>
      </x:c>
      <x:c r="Q70" s="32" t="n">
        <x:f>J70-I70</x:f>
        <x:v>12</x:v>
      </x:c>
      <x:c r="R70" s="32" t="n">
        <x:f>IF(K70="","",K70-I70)</x:f>
        <x:v>25</x:v>
      </x:c>
      <x:c r="S70" s="32" t="n">
        <x:f>IF(K70="","",MAX(0,K70-J70))</x:f>
        <x:v>13</x:v>
      </x:c>
      <x:c r="T70" t="str">
        <x:f>IF(K70="","PENDING",IF(K70&lt;=J70,"ON_TIME","LATE"))</x:f>
        <x:v>LATE</x:v>
      </x:c>
      <x:c r="U70" t="str">
        <x:v>REJECTED</x:v>
      </x:c>
      <x:c r="V70" t="str">
        <x:v>HIGH</x:v>
      </x:c>
      <x:c r="W70" t="str">
        <x:v>SUP-01</x:v>
      </x:c>
      <x:c r="X70" t="str">
        <x:v>Quote-to-PO</x:v>
      </x:c>
      <x:c r="Y70" t="str">
        <x:v>Illustrative backorder/long lead-time case; supplier capacity unverified</x:v>
      </x:c>
      <x:c r="Z70" s="9" t="str">
        <x:v>SYNTHETIC_DEMO</x:v>
      </x:c>
    </x:row>
    <x:row r="71">
      <x:c r="A71" t="str">
        <x:v>SIM-UA-0070</x:v>
      </x:c>
      <x:c r="B71" t="str">
        <x:v>Smartphone optical readout</x:v>
      </x:c>
      <x:c r="C71" t="str">
        <x:v>IMG-007</x:v>
      </x:c>
      <x:c r="D71" t="str">
        <x:v>Acrylic laser-cut frame</x:v>
      </x:c>
      <x:c r="E71" t="str">
        <x:v>Custom microfluidic imaging frame</x:v>
      </x:c>
      <x:c r="F71" t="str">
        <x:v>Prototype hardware</x:v>
      </x:c>
      <x:c r="G71" t="str">
        <x:v>SUP-08</x:v>
      </x:c>
      <x:c r="H71" t="str">
        <x:v>Precision Prototype Services</x:v>
      </x:c>
      <x:c r="I71" s="28" t="n">
        <x:v>45707</x:v>
      </x:c>
      <x:c r="J71" s="28" t="n">
        <x:v>45719</x:v>
      </x:c>
      <x:c r="K71" s="28" t="n">
        <x:v>45719</x:v>
      </x:c>
      <x:c r="L71" s="32" t="n">
        <x:v>3</x:v>
      </x:c>
      <x:c r="M71" t="str">
        <x:v>batch</x:v>
      </x:c>
      <x:c r="N71" s="30" t="n">
        <x:v>113.7</x:v>
      </x:c>
      <x:c r="O71" s="30" t="n">
        <x:v>22.5</x:v>
      </x:c>
      <x:c r="P71" s="30" t="n">
        <x:f>L71*N71+O71</x:f>
        <x:v>363.6</x:v>
      </x:c>
      <x:c r="Q71" s="32" t="n">
        <x:f>J71-I71</x:f>
        <x:v>12</x:v>
      </x:c>
      <x:c r="R71" s="32" t="n">
        <x:f>IF(K71="","",K71-I71)</x:f>
        <x:v>12</x:v>
      </x:c>
      <x:c r="S71" s="32" t="n">
        <x:f>IF(K71="","",MAX(0,K71-J71))</x:f>
        <x:v>0</x:v>
      </x:c>
      <x:c r="T71" t="str">
        <x:f>IF(K71="","PENDING",IF(K71&lt;=J71,"ON_TIME","LATE"))</x:f>
        <x:v>ON_TIME</x:v>
      </x:c>
      <x:c r="U71" t="str">
        <x:v>ACCEPTED</x:v>
      </x:c>
      <x:c r="V71" t="str">
        <x:v>MEDIUM</x:v>
      </x:c>
      <x:c r="W71" t="str">
        <x:v>SUP-04</x:v>
      </x:c>
      <x:c r="X71" t="str">
        <x:v>Vendor web</x:v>
      </x:c>
      <x:c r="Y71" t="str">
        <x:v>Routine replenishment</x:v>
      </x:c>
      <x:c r="Z71" s="9" t="str">
        <x:v>SYNTHETIC_DEMO</x:v>
      </x:c>
    </x:row>
    <x:row r="72">
      <x:c r="A72" t="str">
        <x:v>SIM-UA-0071</x:v>
      </x:c>
      <x:c r="B72" t="str">
        <x:v>Paper microfluidics (SALSA)</x:v>
      </x:c>
      <x:c r="C72" t="str">
        <x:v>PAP-006</x:v>
      </x:c>
      <x:c r="D72" t="str">
        <x:v>Double-sided adhesive film</x:v>
      </x:c>
      <x:c r="E72" t="str">
        <x:v>Medical/optical grade, 50 sheets</x:v>
      </x:c>
      <x:c r="F72" t="str">
        <x:v>Paper &amp; membrane</x:v>
      </x:c>
      <x:c r="G72" t="str">
        <x:v>SUP-03</x:v>
      </x:c>
      <x:c r="H72" t="str">
        <x:v>Catalina Paper &amp; Membrane</x:v>
      </x:c>
      <x:c r="I72" s="28" t="n">
        <x:v>45708</x:v>
      </x:c>
      <x:c r="J72" s="28" t="n">
        <x:v>45714</x:v>
      </x:c>
      <x:c r="K72" s="28" t="n">
        <x:v>45716</x:v>
      </x:c>
      <x:c r="L72" s="32" t="n">
        <x:v>3</x:v>
      </x:c>
      <x:c r="M72" t="str">
        <x:v>pack</x:v>
      </x:c>
      <x:c r="N72" s="30" t="n">
        <x:v>101.12</x:v>
      </x:c>
      <x:c r="O72" s="30" t="n">
        <x:v>15</x:v>
      </x:c>
      <x:c r="P72" s="30" t="n">
        <x:f>L72*N72+O72</x:f>
        <x:v>318.36</x:v>
      </x:c>
      <x:c r="Q72" s="32" t="n">
        <x:f>J72-I72</x:f>
        <x:v>6</x:v>
      </x:c>
      <x:c r="R72" s="32" t="n">
        <x:f>IF(K72="","",K72-I72)</x:f>
        <x:v>8</x:v>
      </x:c>
      <x:c r="S72" s="32" t="n">
        <x:f>IF(K72="","",MAX(0,K72-J72))</x:f>
        <x:v>2</x:v>
      </x:c>
      <x:c r="T72" t="str">
        <x:f>IF(K72="","PENDING",IF(K72&lt;=J72,"ON_TIME","LATE"))</x:f>
        <x:v>LATE</x:v>
      </x:c>
      <x:c r="U72" t="str">
        <x:v>ACCEPTED</x:v>
      </x:c>
      <x:c r="V72" t="str">
        <x:v>MEDIUM</x:v>
      </x:c>
      <x:c r="W72" t="str">
        <x:v>SUP-04</x:v>
      </x:c>
      <x:c r="X72" t="str">
        <x:v>Vendor web</x:v>
      </x:c>
      <x:c r="Y72" t="str">
        <x:v>Prototype iteration demand</x:v>
      </x:c>
      <x:c r="Z72" s="9" t="str">
        <x:v>SYNTHETIC_DEMO</x:v>
      </x:c>
    </x:row>
    <x:row r="73">
      <x:c r="A73" t="str">
        <x:v>SIM-UA-0072</x:v>
      </x:c>
      <x:c r="B73" t="str">
        <x:v>IMCD kidney-on-a-chip</x:v>
      </x:c>
      <x:c r="C73" t="str">
        <x:v>OOC-003</x:v>
      </x:c>
      <x:c r="D73" t="str">
        <x:v>Microscope glass slides</x:v>
      </x:c>
      <x:c r="E73" t="str">
        <x:v>75 × 25 mm, 72/box</x:v>
      </x:c>
      <x:c r="F73" t="str">
        <x:v>Chip fabrication</x:v>
      </x:c>
      <x:c r="G73" t="str">
        <x:v>SUP-07</x:v>
      </x:c>
      <x:c r="H73" t="str">
        <x:v>RapidLab Alternate Source</x:v>
      </x:c>
      <x:c r="I73" s="28" t="n">
        <x:v>45711</x:v>
      </x:c>
      <x:c r="J73" s="28" t="n">
        <x:v>45717</x:v>
      </x:c>
      <x:c r="K73" s="28" t="n">
        <x:v>45717</x:v>
      </x:c>
      <x:c r="L73" s="32" t="n">
        <x:v>1</x:v>
      </x:c>
      <x:c r="M73" t="str">
        <x:v>box</x:v>
      </x:c>
      <x:c r="N73" s="30" t="n">
        <x:v>32.28</x:v>
      </x:c>
      <x:c r="O73" s="30" t="n">
        <x:v>8.5</x:v>
      </x:c>
      <x:c r="P73" s="30" t="n">
        <x:f>L73*N73+O73</x:f>
        <x:v>40.78</x:v>
      </x:c>
      <x:c r="Q73" s="32" t="n">
        <x:f>J73-I73</x:f>
        <x:v>6</x:v>
      </x:c>
      <x:c r="R73" s="32" t="n">
        <x:f>IF(K73="","",K73-I73)</x:f>
        <x:v>6</x:v>
      </x:c>
      <x:c r="S73" s="32" t="n">
        <x:f>IF(K73="","",MAX(0,K73-J73))</x:f>
        <x:v>0</x:v>
      </x:c>
      <x:c r="T73" t="str">
        <x:f>IF(K73="","PENDING",IF(K73&lt;=J73,"ON_TIME","LATE"))</x:f>
        <x:v>ON_TIME</x:v>
      </x:c>
      <x:c r="U73" t="str">
        <x:v>ACCEPTED</x:v>
      </x:c>
      <x:c r="V73" t="str">
        <x:v>MEDIUM</x:v>
      </x:c>
      <x:c r="W73" t="str">
        <x:v>SUP-01</x:v>
      </x:c>
      <x:c r="X73" t="str">
        <x:v>Quote-to-PO</x:v>
      </x:c>
      <x:c r="Y73" t="str">
        <x:v>Experiment schedule-driven reorder</x:v>
      </x:c>
      <x:c r="Z73" s="9" t="str">
        <x:v>SYNTHETIC_DEMO</x:v>
      </x:c>
    </x:row>
    <x:row r="74">
      <x:c r="A74" t="str">
        <x:v>SIM-UA-0073</x:v>
      </x:c>
      <x:c r="B74" t="str">
        <x:v>IMCD kidney-on-a-chip</x:v>
      </x:c>
      <x:c r="C74" t="str">
        <x:v>OOC-003</x:v>
      </x:c>
      <x:c r="D74" t="str">
        <x:v>Microscope glass slides</x:v>
      </x:c>
      <x:c r="E74" t="str">
        <x:v>75 × 25 mm, 72/box</x:v>
      </x:c>
      <x:c r="F74" t="str">
        <x:v>Chip fabrication</x:v>
      </x:c>
      <x:c r="G74" t="str">
        <x:v>SUP-01</x:v>
      </x:c>
      <x:c r="H74" t="str">
        <x:v>Sonoran Scientific Supply</x:v>
      </x:c>
      <x:c r="I74" s="28" t="n">
        <x:v>45711</x:v>
      </x:c>
      <x:c r="J74" s="28" t="n">
        <x:v>45717</x:v>
      </x:c>
      <x:c r="K74" s="28" t="n">
        <x:v>45719</x:v>
      </x:c>
      <x:c r="L74" s="32" t="n">
        <x:v>1</x:v>
      </x:c>
      <x:c r="M74" t="str">
        <x:v>box</x:v>
      </x:c>
      <x:c r="N74" s="30" t="n">
        <x:v>33.56</x:v>
      </x:c>
      <x:c r="O74" s="30" t="n">
        <x:v>15</x:v>
      </x:c>
      <x:c r="P74" s="30" t="n">
        <x:f>L74*N74+O74</x:f>
        <x:v>48.56</x:v>
      </x:c>
      <x:c r="Q74" s="32" t="n">
        <x:f>J74-I74</x:f>
        <x:v>6</x:v>
      </x:c>
      <x:c r="R74" s="32" t="n">
        <x:f>IF(K74="","",K74-I74)</x:f>
        <x:v>8</x:v>
      </x:c>
      <x:c r="S74" s="32" t="n">
        <x:f>IF(K74="","",MAX(0,K74-J74))</x:f>
        <x:v>2</x:v>
      </x:c>
      <x:c r="T74" t="str">
        <x:f>IF(K74="","PENDING",IF(K74&lt;=J74,"ON_TIME","LATE"))</x:f>
        <x:v>LATE</x:v>
      </x:c>
      <x:c r="U74" t="str">
        <x:v>ACCEPTED</x:v>
      </x:c>
      <x:c r="V74" t="str">
        <x:v>MEDIUM</x:v>
      </x:c>
      <x:c r="W74" t="str">
        <x:v>SUP-04</x:v>
      </x:c>
      <x:c r="X74" t="str">
        <x:v>Institutional catalog</x:v>
      </x:c>
      <x:c r="Y74" t="str">
        <x:v>Experiment schedule-driven reorder</x:v>
      </x:c>
      <x:c r="Z74" s="9" t="str">
        <x:v>SYNTHETIC_DEMO</x:v>
      </x:c>
    </x:row>
    <x:row r="75">
      <x:c r="A75" t="str">
        <x:v>SIM-UA-0074</x:v>
      </x:c>
      <x:c r="B75" t="str">
        <x:v>IMCD kidney-on-a-chip</x:v>
      </x:c>
      <x:c r="C75" t="str">
        <x:v>OOC-009</x:v>
      </x:c>
      <x:c r="D75" t="str">
        <x:v>DMEM/F-12 medium</x:v>
      </x:c>
      <x:c r="E75" t="str">
        <x:v>500 mL, sterile cell culture medium</x:v>
      </x:c>
      <x:c r="F75" t="str">
        <x:v>Cell culture</x:v>
      </x:c>
      <x:c r="G75" t="str">
        <x:v>SUP-01</x:v>
      </x:c>
      <x:c r="H75" t="str">
        <x:v>Sonoran Scientific Supply</x:v>
      </x:c>
      <x:c r="I75" s="28" t="n">
        <x:v>45711</x:v>
      </x:c>
      <x:c r="J75" s="28" t="n">
        <x:v>45717</x:v>
      </x:c>
      <x:c r="K75" s="28" t="n">
        <x:v>45716</x:v>
      </x:c>
      <x:c r="L75" s="32" t="n">
        <x:v>5</x:v>
      </x:c>
      <x:c r="M75" t="str">
        <x:v>bottle</x:v>
      </x:c>
      <x:c r="N75" s="30" t="n">
        <x:v>47.6</x:v>
      </x:c>
      <x:c r="O75" s="30" t="n">
        <x:v>12</x:v>
      </x:c>
      <x:c r="P75" s="30" t="n">
        <x:f>L75*N75+O75</x:f>
        <x:v>250</x:v>
      </x:c>
      <x:c r="Q75" s="32" t="n">
        <x:f>J75-I75</x:f>
        <x:v>6</x:v>
      </x:c>
      <x:c r="R75" s="32" t="n">
        <x:f>IF(K75="","",K75-I75)</x:f>
        <x:v>5</x:v>
      </x:c>
      <x:c r="S75" s="32" t="n">
        <x:f>IF(K75="","",MAX(0,K75-J75))</x:f>
        <x:v>0</x:v>
      </x:c>
      <x:c r="T75" t="str">
        <x:f>IF(K75="","PENDING",IF(K75&lt;=J75,"ON_TIME","LATE"))</x:f>
        <x:v>ON_TIME</x:v>
      </x:c>
      <x:c r="U75" t="str">
        <x:v>ACCEPTED</x:v>
      </x:c>
      <x:c r="V75" t="str">
        <x:v>HIGH</x:v>
      </x:c>
      <x:c r="W75" t="str">
        <x:v>SUP-02</x:v>
      </x:c>
      <x:c r="X75" t="str">
        <x:v>Quote-to-PO</x:v>
      </x:c>
      <x:c r="Y75" t="str">
        <x:v>Experiment schedule-driven reorder</x:v>
      </x:c>
      <x:c r="Z75" s="9" t="str">
        <x:v>SYNTHETIC_DEMO</x:v>
      </x:c>
    </x:row>
    <x:row r="76">
      <x:c r="A76" t="str">
        <x:v>SIM-UA-0075</x:v>
      </x:c>
      <x:c r="B76" t="str">
        <x:v>IMCD kidney-on-a-chip</x:v>
      </x:c>
      <x:c r="C76" t="str">
        <x:v>OOC-002</x:v>
      </x:c>
      <x:c r="D76" t="str">
        <x:v>Porous membrane film</x:v>
      </x:c>
      <x:c r="E76" t="str">
        <x:v>0.4 µm, microfluidic support membrane</x:v>
      </x:c>
      <x:c r="F76" t="str">
        <x:v>Chip fabrication</x:v>
      </x:c>
      <x:c r="G76" t="str">
        <x:v>SUP-04</x:v>
      </x:c>
      <x:c r="H76" t="str">
        <x:v>Canyon Microfabrication</x:v>
      </x:c>
      <x:c r="I76" s="28" t="n">
        <x:v>45716</x:v>
      </x:c>
      <x:c r="J76" s="28" t="n">
        <x:v>45728</x:v>
      </x:c>
      <x:c r="K76" s="28" t="n">
        <x:v>45745</x:v>
      </x:c>
      <x:c r="L76" s="32" t="n">
        <x:v>1</x:v>
      </x:c>
      <x:c r="M76" t="str">
        <x:v>pack</x:v>
      </x:c>
      <x:c r="N76" s="30" t="n">
        <x:v>182.92</x:v>
      </x:c>
      <x:c r="O76" s="30" t="n">
        <x:v>22.5</x:v>
      </x:c>
      <x:c r="P76" s="30" t="n">
        <x:f>L76*N76+O76</x:f>
        <x:v>205.42</x:v>
      </x:c>
      <x:c r="Q76" s="32" t="n">
        <x:f>J76-I76</x:f>
        <x:v>12</x:v>
      </x:c>
      <x:c r="R76" s="32" t="n">
        <x:f>IF(K76="","",K76-I76)</x:f>
        <x:v>29</x:v>
      </x:c>
      <x:c r="S76" s="32" t="n">
        <x:f>IF(K76="","",MAX(0,K76-J76))</x:f>
        <x:v>17</x:v>
      </x:c>
      <x:c r="T76" t="str">
        <x:f>IF(K76="","PENDING",IF(K76&lt;=J76,"ON_TIME","LATE"))</x:f>
        <x:v>LATE</x:v>
      </x:c>
      <x:c r="U76" t="str">
        <x:v>ACCEPTED</x:v>
      </x:c>
      <x:c r="V76" t="str">
        <x:v>HIGH</x:v>
      </x:c>
      <x:c r="W76" t="str">
        <x:v>SUP-01</x:v>
      </x:c>
      <x:c r="X76" t="str">
        <x:v>Vendor web</x:v>
      </x:c>
      <x:c r="Y76" t="str">
        <x:v>Illustrative backorder/long lead-time case; supplier capacity unverified</x:v>
      </x:c>
      <x:c r="Z76" s="9" t="str">
        <x:v>SYNTHETIC_DEMO</x:v>
      </x:c>
    </x:row>
    <x:row r="77">
      <x:c r="A77" t="str">
        <x:v>SIM-UA-0076</x:v>
      </x:c>
      <x:c r="B77" t="str">
        <x:v>Paper microfluidics (SALSA)</x:v>
      </x:c>
      <x:c r="C77" t="str">
        <x:v>PAP-002</x:v>
      </x:c>
      <x:c r="D77" t="str">
        <x:v>Chromatography paper</x:v>
      </x:c>
      <x:c r="E77" t="str">
        <x:v>Grade 1 CHR, 100 sheets</x:v>
      </x:c>
      <x:c r="F77" t="str">
        <x:v>Paper &amp; membrane</x:v>
      </x:c>
      <x:c r="G77" t="str">
        <x:v>SUP-03</x:v>
      </x:c>
      <x:c r="H77" t="str">
        <x:v>Catalina Paper &amp; Membrane</x:v>
      </x:c>
      <x:c r="I77" s="28" t="n">
        <x:v>45718</x:v>
      </x:c>
      <x:c r="J77" s="28" t="n">
        <x:v>45725</x:v>
      </x:c>
      <x:c r="K77" s="28" t="n">
        <x:v>45732</x:v>
      </x:c>
      <x:c r="L77" s="32" t="n">
        <x:v>3</x:v>
      </x:c>
      <x:c r="M77" t="str">
        <x:v>pack</x:v>
      </x:c>
      <x:c r="N77" s="30" t="n">
        <x:v>79.32</x:v>
      </x:c>
      <x:c r="O77" s="30" t="n">
        <x:v>0</x:v>
      </x:c>
      <x:c r="P77" s="30" t="n">
        <x:f>L77*N77+O77</x:f>
        <x:v>237.95999999999998</x:v>
      </x:c>
      <x:c r="Q77" s="32" t="n">
        <x:f>J77-I77</x:f>
        <x:v>7</x:v>
      </x:c>
      <x:c r="R77" s="32" t="n">
        <x:f>IF(K77="","",K77-I77)</x:f>
        <x:v>14</x:v>
      </x:c>
      <x:c r="S77" s="32" t="n">
        <x:f>IF(K77="","",MAX(0,K77-J77))</x:f>
        <x:v>7</x:v>
      </x:c>
      <x:c r="T77" t="str">
        <x:f>IF(K77="","PENDING",IF(K77&lt;=J77,"ON_TIME","LATE"))</x:f>
        <x:v>LATE</x:v>
      </x:c>
      <x:c r="U77" t="str">
        <x:v>ACCEPTED</x:v>
      </x:c>
      <x:c r="V77" t="str">
        <x:v>MEDIUM</x:v>
      </x:c>
      <x:c r="W77" t="str">
        <x:v>SUP-01</x:v>
      </x:c>
      <x:c r="X77" t="str">
        <x:v>Institutional catalog</x:v>
      </x:c>
      <x:c r="Y77" t="str">
        <x:v>Illustrative delivery delay; review alternate sourcing</x:v>
      </x:c>
      <x:c r="Z77" s="9" t="str">
        <x:v>SYNTHETIC_DEMO</x:v>
      </x:c>
    </x:row>
    <x:row r="78">
      <x:c r="A78" t="str">
        <x:v>SIM-UA-0077</x:v>
      </x:c>
      <x:c r="B78" t="str">
        <x:v>Paper microfluidics (SALSA)</x:v>
      </x:c>
      <x:c r="C78" t="str">
        <x:v>PAP-005</x:v>
      </x:c>
      <x:c r="D78" t="str">
        <x:v>Polyester laminating film</x:v>
      </x:c>
      <x:c r="E78" t="str">
        <x:v>A4 format, 100 sheets</x:v>
      </x:c>
      <x:c r="F78" t="str">
        <x:v>Paper &amp; membrane</x:v>
      </x:c>
      <x:c r="G78" t="str">
        <x:v>SUP-03</x:v>
      </x:c>
      <x:c r="H78" t="str">
        <x:v>Catalina Paper &amp; Membrane</x:v>
      </x:c>
      <x:c r="I78" s="28" t="n">
        <x:v>45719</x:v>
      </x:c>
      <x:c r="J78" s="28" t="n">
        <x:v>45729</x:v>
      </x:c>
      <x:c r="K78" s="28" t="n">
        <x:v>45731</x:v>
      </x:c>
      <x:c r="L78" s="32" t="n">
        <x:v>1</x:v>
      </x:c>
      <x:c r="M78" t="str">
        <x:v>pack</x:v>
      </x:c>
      <x:c r="N78" s="30" t="n">
        <x:v>31.07</x:v>
      </x:c>
      <x:c r="O78" s="30" t="n">
        <x:v>29</x:v>
      </x:c>
      <x:c r="P78" s="30" t="n">
        <x:f>L78*N78+O78</x:f>
        <x:v>60.07</x:v>
      </x:c>
      <x:c r="Q78" s="32" t="n">
        <x:f>J78-I78</x:f>
        <x:v>10</x:v>
      </x:c>
      <x:c r="R78" s="32" t="n">
        <x:f>IF(K78="","",K78-I78)</x:f>
        <x:v>12</x:v>
      </x:c>
      <x:c r="S78" s="32" t="n">
        <x:f>IF(K78="","",MAX(0,K78-J78))</x:f>
        <x:v>2</x:v>
      </x:c>
      <x:c r="T78" t="str">
        <x:f>IF(K78="","PENDING",IF(K78&lt;=J78,"ON_TIME","LATE"))</x:f>
        <x:v>LATE</x:v>
      </x:c>
      <x:c r="U78" t="str">
        <x:v>ACCEPTED</x:v>
      </x:c>
      <x:c r="V78" t="str">
        <x:v>LOW</x:v>
      </x:c>
      <x:c r="W78" t="str">
        <x:v>SUP-07</x:v>
      </x:c>
      <x:c r="X78" t="str">
        <x:v>Quote-to-PO</x:v>
      </x:c>
      <x:c r="Y78" t="str">
        <x:v>Experiment schedule-driven reorder</x:v>
      </x:c>
      <x:c r="Z78" s="9" t="str">
        <x:v>SYNTHETIC_DEMO</x:v>
      </x:c>
    </x:row>
    <x:row r="79">
      <x:c r="A79" t="str">
        <x:v>SIM-UA-0078</x:v>
      </x:c>
      <x:c r="B79" t="str">
        <x:v>Paper microfluidics (SALSA)</x:v>
      </x:c>
      <x:c r="C79" t="str">
        <x:v>PAP-002</x:v>
      </x:c>
      <x:c r="D79" t="str">
        <x:v>Chromatography paper</x:v>
      </x:c>
      <x:c r="E79" t="str">
        <x:v>Grade 1 CHR, 100 sheets</x:v>
      </x:c>
      <x:c r="F79" t="str">
        <x:v>Paper &amp; membrane</x:v>
      </x:c>
      <x:c r="G79" t="str">
        <x:v>SUP-07</x:v>
      </x:c>
      <x:c r="H79" t="str">
        <x:v>RapidLab Alternate Source</x:v>
      </x:c>
      <x:c r="I79" s="28" t="n">
        <x:v>45719</x:v>
      </x:c>
      <x:c r="J79" s="28" t="n">
        <x:v>45725</x:v>
      </x:c>
      <x:c r="K79" s="28" t="n">
        <x:v>45725</x:v>
      </x:c>
      <x:c r="L79" s="32" t="n">
        <x:v>3</x:v>
      </x:c>
      <x:c r="M79" t="str">
        <x:v>pack</x:v>
      </x:c>
      <x:c r="N79" s="30" t="n">
        <x:v>79.15</x:v>
      </x:c>
      <x:c r="O79" s="30" t="n">
        <x:v>22.5</x:v>
      </x:c>
      <x:c r="P79" s="30" t="n">
        <x:f>L79*N79+O79</x:f>
        <x:v>259.95000000000005</x:v>
      </x:c>
      <x:c r="Q79" s="32" t="n">
        <x:f>J79-I79</x:f>
        <x:v>6</x:v>
      </x:c>
      <x:c r="R79" s="32" t="n">
        <x:f>IF(K79="","",K79-I79)</x:f>
        <x:v>6</x:v>
      </x:c>
      <x:c r="S79" s="32" t="n">
        <x:f>IF(K79="","",MAX(0,K79-J79))</x:f>
        <x:v>0</x:v>
      </x:c>
      <x:c r="T79" t="str">
        <x:f>IF(K79="","PENDING",IF(K79&lt;=J79,"ON_TIME","LATE"))</x:f>
        <x:v>ON_TIME</x:v>
      </x:c>
      <x:c r="U79" t="str">
        <x:v>ACCEPTED</x:v>
      </x:c>
      <x:c r="V79" t="str">
        <x:v>MEDIUM</x:v>
      </x:c>
      <x:c r="W79" t="str">
        <x:v>SUP-03</x:v>
      </x:c>
      <x:c r="X79" t="str">
        <x:v>Quote-to-PO</x:v>
      </x:c>
      <x:c r="Y79" t="str">
        <x:v>Routine replenishment</x:v>
      </x:c>
      <x:c r="Z79" s="9" t="str">
        <x:v>SYNTHETIC_DEMO</x:v>
      </x:c>
    </x:row>
    <x:row r="80">
      <x:c r="A80" t="str">
        <x:v>SIM-UA-0079</x:v>
      </x:c>
      <x:c r="B80" t="str">
        <x:v>IMCD kidney-on-a-chip</x:v>
      </x:c>
      <x:c r="C80" t="str">
        <x:v>OOC-002</x:v>
      </x:c>
      <x:c r="D80" t="str">
        <x:v>Porous membrane film</x:v>
      </x:c>
      <x:c r="E80" t="str">
        <x:v>0.4 µm, microfluidic support membrane</x:v>
      </x:c>
      <x:c r="F80" t="str">
        <x:v>Chip fabrication</x:v>
      </x:c>
      <x:c r="G80" t="str">
        <x:v>SUP-01</x:v>
      </x:c>
      <x:c r="H80" t="str">
        <x:v>Sonoran Scientific Supply</x:v>
      </x:c>
      <x:c r="I80" s="28" t="n">
        <x:v>45721</x:v>
      </x:c>
      <x:c r="J80" s="28" t="n">
        <x:v>45729</x:v>
      </x:c>
      <x:c r="K80" s="28" t="n">
        <x:v>45729</x:v>
      </x:c>
      <x:c r="L80" s="32" t="n">
        <x:v>1</x:v>
      </x:c>
      <x:c r="M80" t="str">
        <x:v>pack</x:v>
      </x:c>
      <x:c r="N80" s="30" t="n">
        <x:v>193.39</x:v>
      </x:c>
      <x:c r="O80" s="30" t="n">
        <x:v>15</x:v>
      </x:c>
      <x:c r="P80" s="30" t="n">
        <x:f>L80*N80+O80</x:f>
        <x:v>208.39</x:v>
      </x:c>
      <x:c r="Q80" s="32" t="n">
        <x:f>J80-I80</x:f>
        <x:v>8</x:v>
      </x:c>
      <x:c r="R80" s="32" t="n">
        <x:f>IF(K80="","",K80-I80)</x:f>
        <x:v>8</x:v>
      </x:c>
      <x:c r="S80" s="32" t="n">
        <x:f>IF(K80="","",MAX(0,K80-J80))</x:f>
        <x:v>0</x:v>
      </x:c>
      <x:c r="T80" t="str">
        <x:f>IF(K80="","PENDING",IF(K80&lt;=J80,"ON_TIME","LATE"))</x:f>
        <x:v>ON_TIME</x:v>
      </x:c>
      <x:c r="U80" t="str">
        <x:v>HOLD</x:v>
      </x:c>
      <x:c r="V80" t="str">
        <x:v>HIGH</x:v>
      </x:c>
      <x:c r="W80" t="str">
        <x:v>SUP-04</x:v>
      </x:c>
      <x:c r="X80" t="str">
        <x:v>Vendor web</x:v>
      </x:c>
      <x:c r="Y80" t="str">
        <x:v>Routine replenishment</x:v>
      </x:c>
      <x:c r="Z80" s="9" t="str">
        <x:v>SYNTHETIC_DEMO</x:v>
      </x:c>
    </x:row>
    <x:row r="81">
      <x:c r="A81" t="str">
        <x:v>SIM-UA-0080</x:v>
      </x:c>
      <x:c r="B81" t="str">
        <x:v>IMCD kidney-on-a-chip</x:v>
      </x:c>
      <x:c r="C81" t="str">
        <x:v>OOC-004</x:v>
      </x:c>
      <x:c r="D81" t="str">
        <x:v>Glass cover slips</x:v>
      </x:c>
      <x:c r="E81" t="str">
        <x:v>No. 1.5, 100/pack</x:v>
      </x:c>
      <x:c r="F81" t="str">
        <x:v>Chip fabrication</x:v>
      </x:c>
      <x:c r="G81" t="str">
        <x:v>SUP-01</x:v>
      </x:c>
      <x:c r="H81" t="str">
        <x:v>Sonoran Scientific Supply</x:v>
      </x:c>
      <x:c r="I81" s="28" t="n">
        <x:v>45722</x:v>
      </x:c>
      <x:c r="J81" s="28" t="n">
        <x:v>45732</x:v>
      </x:c>
      <x:c r="K81" s="28" t="n">
        <x:v>45731</x:v>
      </x:c>
      <x:c r="L81" s="32" t="n">
        <x:v>1</x:v>
      </x:c>
      <x:c r="M81" t="str">
        <x:v>pack</x:v>
      </x:c>
      <x:c r="N81" s="30" t="n">
        <x:v>49.56</x:v>
      </x:c>
      <x:c r="O81" s="30" t="n">
        <x:v>8.5</x:v>
      </x:c>
      <x:c r="P81" s="30" t="n">
        <x:f>L81*N81+O81</x:f>
        <x:v>58.06</x:v>
      </x:c>
      <x:c r="Q81" s="32" t="n">
        <x:f>J81-I81</x:f>
        <x:v>10</x:v>
      </x:c>
      <x:c r="R81" s="32" t="n">
        <x:f>IF(K81="","",K81-I81)</x:f>
        <x:v>9</x:v>
      </x:c>
      <x:c r="S81" s="32" t="n">
        <x:f>IF(K81="","",MAX(0,K81-J81))</x:f>
        <x:v>0</x:v>
      </x:c>
      <x:c r="T81" t="str">
        <x:f>IF(K81="","PENDING",IF(K81&lt;=J81,"ON_TIME","LATE"))</x:f>
        <x:v>ON_TIME</x:v>
      </x:c>
      <x:c r="U81" t="str">
        <x:v>ACCEPTED</x:v>
      </x:c>
      <x:c r="V81" t="str">
        <x:v>MEDIUM</x:v>
      </x:c>
      <x:c r="W81" t="str">
        <x:v>SUP-04</x:v>
      </x:c>
      <x:c r="X81" t="str">
        <x:v>Institutional catalog</x:v>
      </x:c>
      <x:c r="Y81" t="str">
        <x:v>Routine replenishment</x:v>
      </x:c>
      <x:c r="Z81" s="9" t="str">
        <x:v>SYNTHETIC_DEMO</x:v>
      </x:c>
    </x:row>
    <x:row r="82">
      <x:c r="A82" t="str">
        <x:v>SIM-UA-0081</x:v>
      </x:c>
      <x:c r="B82" t="str">
        <x:v>IMCD kidney-on-a-chip</x:v>
      </x:c>
      <x:c r="C82" t="str">
        <x:v>OOC-015</x:v>
      </x:c>
      <x:c r="D82" t="str">
        <x:v>Syringe filters</x:v>
      </x:c>
      <x:c r="E82" t="str">
        <x:v>0.22 µm, sterile, 50/pack</x:v>
      </x:c>
      <x:c r="F82" t="str">
        <x:v>Cell culture</x:v>
      </x:c>
      <x:c r="G82" t="str">
        <x:v>SUP-02</x:v>
      </x:c>
      <x:c r="H82" t="str">
        <x:v>Desert BioReagents</x:v>
      </x:c>
      <x:c r="I82" s="28" t="n">
        <x:v>45722</x:v>
      </x:c>
      <x:c r="J82" s="28" t="n">
        <x:v>45726</x:v>
      </x:c>
      <x:c r="K82" s="28" t="n">
        <x:v>45726</x:v>
      </x:c>
      <x:c r="L82" s="32" t="n">
        <x:v>1</x:v>
      </x:c>
      <x:c r="M82" t="str">
        <x:v>pack</x:v>
      </x:c>
      <x:c r="N82" s="30" t="n">
        <x:v>97.77</x:v>
      </x:c>
      <x:c r="O82" s="30" t="n">
        <x:v>15</x:v>
      </x:c>
      <x:c r="P82" s="30" t="n">
        <x:f>L82*N82+O82</x:f>
        <x:v>112.77</x:v>
      </x:c>
      <x:c r="Q82" s="32" t="n">
        <x:f>J82-I82</x:f>
        <x:v>4</x:v>
      </x:c>
      <x:c r="R82" s="32" t="n">
        <x:f>IF(K82="","",K82-I82)</x:f>
        <x:v>4</x:v>
      </x:c>
      <x:c r="S82" s="32" t="n">
        <x:f>IF(K82="","",MAX(0,K82-J82))</x:f>
        <x:v>0</x:v>
      </x:c>
      <x:c r="T82" t="str">
        <x:f>IF(K82="","PENDING",IF(K82&lt;=J82,"ON_TIME","LATE"))</x:f>
        <x:v>ON_TIME</x:v>
      </x:c>
      <x:c r="U82" t="str">
        <x:v>ACCEPTED</x:v>
      </x:c>
      <x:c r="V82" t="str">
        <x:v>MEDIUM</x:v>
      </x:c>
      <x:c r="W82" t="str">
        <x:v>SUP-01</x:v>
      </x:c>
      <x:c r="X82" t="str">
        <x:v>Institutional catalog</x:v>
      </x:c>
      <x:c r="Y82" t="str">
        <x:v>Routine replenishment</x:v>
      </x:c>
      <x:c r="Z82" s="9" t="str">
        <x:v>SYNTHETIC_DEMO</x:v>
      </x:c>
    </x:row>
    <x:row r="83">
      <x:c r="A83" t="str">
        <x:v>SIM-UA-0082</x:v>
      </x:c>
      <x:c r="B83" t="str">
        <x:v>Paper microfluidics (SALSA)</x:v>
      </x:c>
      <x:c r="C83" t="str">
        <x:v>PAP-006</x:v>
      </x:c>
      <x:c r="D83" t="str">
        <x:v>Double-sided adhesive film</x:v>
      </x:c>
      <x:c r="E83" t="str">
        <x:v>Medical/optical grade, 50 sheets</x:v>
      </x:c>
      <x:c r="F83" t="str">
        <x:v>Paper &amp; membrane</x:v>
      </x:c>
      <x:c r="G83" t="str">
        <x:v>SUP-03</x:v>
      </x:c>
      <x:c r="H83" t="str">
        <x:v>Catalina Paper &amp; Membrane</x:v>
      </x:c>
      <x:c r="I83" s="28" t="n">
        <x:v>45722</x:v>
      </x:c>
      <x:c r="J83" s="28" t="n">
        <x:v>45727</x:v>
      </x:c>
      <x:c r="K83" s="28" t="n">
        <x:v>45726</x:v>
      </x:c>
      <x:c r="L83" s="32" t="n">
        <x:v>1</x:v>
      </x:c>
      <x:c r="M83" t="str">
        <x:v>pack</x:v>
      </x:c>
      <x:c r="N83" s="30" t="n">
        <x:v>107.35</x:v>
      </x:c>
      <x:c r="O83" s="30" t="n">
        <x:v>0</x:v>
      </x:c>
      <x:c r="P83" s="30" t="n">
        <x:f>L83*N83+O83</x:f>
        <x:v>107.35</x:v>
      </x:c>
      <x:c r="Q83" s="32" t="n">
        <x:f>J83-I83</x:f>
        <x:v>5</x:v>
      </x:c>
      <x:c r="R83" s="32" t="n">
        <x:f>IF(K83="","",K83-I83)</x:f>
        <x:v>4</x:v>
      </x:c>
      <x:c r="S83" s="32" t="n">
        <x:f>IF(K83="","",MAX(0,K83-J83))</x:f>
        <x:v>0</x:v>
      </x:c>
      <x:c r="T83" t="str">
        <x:f>IF(K83="","PENDING",IF(K83&lt;=J83,"ON_TIME","LATE"))</x:f>
        <x:v>ON_TIME</x:v>
      </x:c>
      <x:c r="U83" t="str">
        <x:v>ACCEPTED</x:v>
      </x:c>
      <x:c r="V83" t="str">
        <x:v>MEDIUM</x:v>
      </x:c>
      <x:c r="W83" t="str">
        <x:v>SUP-04</x:v>
      </x:c>
      <x:c r="X83" t="str">
        <x:v>Institutional catalog</x:v>
      </x:c>
      <x:c r="Y83" t="str">
        <x:v>Routine replenishment</x:v>
      </x:c>
      <x:c r="Z83" s="9" t="str">
        <x:v>SYNTHETIC_DEMO</x:v>
      </x:c>
    </x:row>
    <x:row r="84">
      <x:c r="A84" t="str">
        <x:v>SIM-UA-0083</x:v>
      </x:c>
      <x:c r="B84" t="str">
        <x:v>IMCD kidney-on-a-chip</x:v>
      </x:c>
      <x:c r="C84" t="str">
        <x:v>OOC-012</x:v>
      </x:c>
      <x:c r="D84" t="str">
        <x:v>Trypsin-EDTA</x:v>
      </x:c>
      <x:c r="E84" t="str">
        <x:v>100 mL, cell dissociation</x:v>
      </x:c>
      <x:c r="F84" t="str">
        <x:v>Cell culture</x:v>
      </x:c>
      <x:c r="G84" t="str">
        <x:v>SUP-01</x:v>
      </x:c>
      <x:c r="H84" t="str">
        <x:v>Sonoran Scientific Supply</x:v>
      </x:c>
      <x:c r="I84" s="28" t="n">
        <x:v>45723</x:v>
      </x:c>
      <x:c r="J84" s="28" t="n">
        <x:v>45731</x:v>
      </x:c>
      <x:c r="K84" s="28" t="n">
        <x:v>45731</x:v>
      </x:c>
      <x:c r="L84" s="32" t="n">
        <x:v>1</x:v>
      </x:c>
      <x:c r="M84" t="str">
        <x:v>bottle</x:v>
      </x:c>
      <x:c r="N84" s="30" t="n">
        <x:v>33.1</x:v>
      </x:c>
      <x:c r="O84" s="30" t="n">
        <x:v>22.5</x:v>
      </x:c>
      <x:c r="P84" s="30" t="n">
        <x:f>L84*N84+O84</x:f>
        <x:v>55.6</x:v>
      </x:c>
      <x:c r="Q84" s="32" t="n">
        <x:f>J84-I84</x:f>
        <x:v>8</x:v>
      </x:c>
      <x:c r="R84" s="32" t="n">
        <x:f>IF(K84="","",K84-I84)</x:f>
        <x:v>8</x:v>
      </x:c>
      <x:c r="S84" s="32" t="n">
        <x:f>IF(K84="","",MAX(0,K84-J84))</x:f>
        <x:v>0</x:v>
      </x:c>
      <x:c r="T84" t="str">
        <x:f>IF(K84="","PENDING",IF(K84&lt;=J84,"ON_TIME","LATE"))</x:f>
        <x:v>ON_TIME</x:v>
      </x:c>
      <x:c r="U84" t="str">
        <x:v>ACCEPTED</x:v>
      </x:c>
      <x:c r="V84" t="str">
        <x:v>MEDIUM</x:v>
      </x:c>
      <x:c r="W84" t="str">
        <x:v>SUP-02</x:v>
      </x:c>
      <x:c r="X84" t="str">
        <x:v>Institutional catalog</x:v>
      </x:c>
      <x:c r="Y84" t="str"/>
      <x:c r="Z84" s="9" t="str">
        <x:v>SYNTHETIC_DEMO</x:v>
      </x:c>
    </x:row>
    <x:row r="85">
      <x:c r="A85" t="str">
        <x:v>SIM-UA-0084</x:v>
      </x:c>
      <x:c r="B85" t="str">
        <x:v>IMCD kidney-on-a-chip</x:v>
      </x:c>
      <x:c r="C85" t="str">
        <x:v>OOC-016</x:v>
      </x:c>
      <x:c r="D85" t="str">
        <x:v>Nitrile laboratory gloves</x:v>
      </x:c>
      <x:c r="E85" t="str">
        <x:v>Size M, powder-free, 100/box</x:v>
      </x:c>
      <x:c r="F85" t="str">
        <x:v>Cell culture</x:v>
      </x:c>
      <x:c r="G85" t="str">
        <x:v>SUP-07</x:v>
      </x:c>
      <x:c r="H85" t="str">
        <x:v>RapidLab Alternate Source</x:v>
      </x:c>
      <x:c r="I85" s="28" t="n">
        <x:v>45724</x:v>
      </x:c>
      <x:c r="J85" s="28" t="n">
        <x:v>45726</x:v>
      </x:c>
      <x:c r="K85" s="28" t="n">
        <x:v>45729</x:v>
      </x:c>
      <x:c r="L85" s="32" t="n">
        <x:v>3</x:v>
      </x:c>
      <x:c r="M85" t="str">
        <x:v>box</x:v>
      </x:c>
      <x:c r="N85" s="30" t="n">
        <x:v>22.89</x:v>
      </x:c>
      <x:c r="O85" s="30" t="n">
        <x:v>18</x:v>
      </x:c>
      <x:c r="P85" s="30" t="n">
        <x:f>L85*N85+O85</x:f>
        <x:v>86.67</x:v>
      </x:c>
      <x:c r="Q85" s="32" t="n">
        <x:f>J85-I85</x:f>
        <x:v>2</x:v>
      </x:c>
      <x:c r="R85" s="32" t="n">
        <x:f>IF(K85="","",K85-I85)</x:f>
        <x:v>5</x:v>
      </x:c>
      <x:c r="S85" s="32" t="n">
        <x:f>IF(K85="","",MAX(0,K85-J85))</x:f>
        <x:v>3</x:v>
      </x:c>
      <x:c r="T85" t="str">
        <x:f>IF(K85="","PENDING",IF(K85&lt;=J85,"ON_TIME","LATE"))</x:f>
        <x:v>LATE</x:v>
      </x:c>
      <x:c r="U85" t="str">
        <x:v>ACCEPTED</x:v>
      </x:c>
      <x:c r="V85" t="str">
        <x:v>LOW</x:v>
      </x:c>
      <x:c r="W85" t="str">
        <x:v>SUP-01</x:v>
      </x:c>
      <x:c r="X85" t="str">
        <x:v>Institutional catalog</x:v>
      </x:c>
      <x:c r="Y85" t="str">
        <x:v>Routine replenishment</x:v>
      </x:c>
      <x:c r="Z85" s="9" t="str">
        <x:v>SYNTHETIC_DEMO</x:v>
      </x:c>
    </x:row>
    <x:row r="86">
      <x:c r="A86" t="str">
        <x:v>SIM-UA-0085</x:v>
      </x:c>
      <x:c r="B86" t="str">
        <x:v>IMCD kidney-on-a-chip</x:v>
      </x:c>
      <x:c r="C86" t="str">
        <x:v>OOC-003</x:v>
      </x:c>
      <x:c r="D86" t="str">
        <x:v>Microscope glass slides</x:v>
      </x:c>
      <x:c r="E86" t="str">
        <x:v>75 × 25 mm, 72/box</x:v>
      </x:c>
      <x:c r="F86" t="str">
        <x:v>Chip fabrication</x:v>
      </x:c>
      <x:c r="G86" t="str">
        <x:v>SUP-01</x:v>
      </x:c>
      <x:c r="H86" t="str">
        <x:v>Sonoran Scientific Supply</x:v>
      </x:c>
      <x:c r="I86" s="28" t="n">
        <x:v>45726</x:v>
      </x:c>
      <x:c r="J86" s="28" t="n">
        <x:v>45730</x:v>
      </x:c>
      <x:c r="K86" s="28" t="n">
        <x:v>45730</x:v>
      </x:c>
      <x:c r="L86" s="32" t="n">
        <x:v>1</x:v>
      </x:c>
      <x:c r="M86" t="str">
        <x:v>box</x:v>
      </x:c>
      <x:c r="N86" s="30" t="n">
        <x:v>30.84</x:v>
      </x:c>
      <x:c r="O86" s="30" t="n">
        <x:v>18</x:v>
      </x:c>
      <x:c r="P86" s="30" t="n">
        <x:f>L86*N86+O86</x:f>
        <x:v>48.84</x:v>
      </x:c>
      <x:c r="Q86" s="32" t="n">
        <x:f>J86-I86</x:f>
        <x:v>4</x:v>
      </x:c>
      <x:c r="R86" s="32" t="n">
        <x:f>IF(K86="","",K86-I86)</x:f>
        <x:v>4</x:v>
      </x:c>
      <x:c r="S86" s="32" t="n">
        <x:f>IF(K86="","",MAX(0,K86-J86))</x:f>
        <x:v>0</x:v>
      </x:c>
      <x:c r="T86" t="str">
        <x:f>IF(K86="","PENDING",IF(K86&lt;=J86,"ON_TIME","LATE"))</x:f>
        <x:v>ON_TIME</x:v>
      </x:c>
      <x:c r="U86" t="str">
        <x:v>ACCEPTED</x:v>
      </x:c>
      <x:c r="V86" t="str">
        <x:v>MEDIUM</x:v>
      </x:c>
      <x:c r="W86" t="str">
        <x:v>SUP-04</x:v>
      </x:c>
      <x:c r="X86" t="str">
        <x:v>Institutional catalog</x:v>
      </x:c>
      <x:c r="Y86" t="str">
        <x:v>Prototype iteration demand</x:v>
      </x:c>
      <x:c r="Z86" s="9" t="str">
        <x:v>SYNTHETIC_DEMO</x:v>
      </x:c>
    </x:row>
    <x:row r="87">
      <x:c r="A87" t="str">
        <x:v>SIM-UA-0086</x:v>
      </x:c>
      <x:c r="B87" t="str">
        <x:v>IMCD kidney-on-a-chip</x:v>
      </x:c>
      <x:c r="C87" t="str">
        <x:v>OOC-009</x:v>
      </x:c>
      <x:c r="D87" t="str">
        <x:v>DMEM/F-12 medium</x:v>
      </x:c>
      <x:c r="E87" t="str">
        <x:v>500 mL, sterile cell culture medium</x:v>
      </x:c>
      <x:c r="F87" t="str">
        <x:v>Cell culture</x:v>
      </x:c>
      <x:c r="G87" t="str">
        <x:v>SUP-01</x:v>
      </x:c>
      <x:c r="H87" t="str">
        <x:v>Sonoran Scientific Supply</x:v>
      </x:c>
      <x:c r="I87" s="28" t="n">
        <x:v>45726</x:v>
      </x:c>
      <x:c r="J87" s="28" t="n">
        <x:v>45734</x:v>
      </x:c>
      <x:c r="K87" s="28" t="n">
        <x:v>45734</x:v>
      </x:c>
      <x:c r="L87" s="32" t="n">
        <x:v>2</x:v>
      </x:c>
      <x:c r="M87" t="str">
        <x:v>bottle</x:v>
      </x:c>
      <x:c r="N87" s="30" t="n">
        <x:v>46.6</x:v>
      </x:c>
      <x:c r="O87" s="30" t="n">
        <x:v>0</x:v>
      </x:c>
      <x:c r="P87" s="30" t="n">
        <x:f>L87*N87+O87</x:f>
        <x:v>93.2</x:v>
      </x:c>
      <x:c r="Q87" s="32" t="n">
        <x:f>J87-I87</x:f>
        <x:v>8</x:v>
      </x:c>
      <x:c r="R87" s="32" t="n">
        <x:f>IF(K87="","",K87-I87)</x:f>
        <x:v>8</x:v>
      </x:c>
      <x:c r="S87" s="32" t="n">
        <x:f>IF(K87="","",MAX(0,K87-J87))</x:f>
        <x:v>0</x:v>
      </x:c>
      <x:c r="T87" t="str">
        <x:f>IF(K87="","PENDING",IF(K87&lt;=J87,"ON_TIME","LATE"))</x:f>
        <x:v>ON_TIME</x:v>
      </x:c>
      <x:c r="U87" t="str">
        <x:v>ACCEPTED</x:v>
      </x:c>
      <x:c r="V87" t="str">
        <x:v>HIGH</x:v>
      </x:c>
      <x:c r="W87" t="str">
        <x:v>SUP-02</x:v>
      </x:c>
      <x:c r="X87" t="str">
        <x:v>Institutional catalog</x:v>
      </x:c>
      <x:c r="Y87" t="str">
        <x:v>Prototype iteration demand</x:v>
      </x:c>
      <x:c r="Z87" s="9" t="str">
        <x:v>SYNTHETIC_DEMO</x:v>
      </x:c>
    </x:row>
    <x:row r="88">
      <x:c r="A88" t="str">
        <x:v>SIM-UA-0087</x:v>
      </x:c>
      <x:c r="B88" t="str">
        <x:v>Paper microfluidics (SALSA)</x:v>
      </x:c>
      <x:c r="C88" t="str">
        <x:v>PAP-011</x:v>
      </x:c>
      <x:c r="D88" t="str">
        <x:v>Microcentrifuge tubes</x:v>
      </x:c>
      <x:c r="E88" t="str">
        <x:v>1.5 mL, 500/pack</x:v>
      </x:c>
      <x:c r="F88" t="str">
        <x:v>Assay reagents</x:v>
      </x:c>
      <x:c r="G88" t="str">
        <x:v>SUP-01</x:v>
      </x:c>
      <x:c r="H88" t="str">
        <x:v>Sonoran Scientific Supply</x:v>
      </x:c>
      <x:c r="I88" s="28" t="n">
        <x:v>45727</x:v>
      </x:c>
      <x:c r="J88" s="28" t="n">
        <x:v>45731</x:v>
      </x:c>
      <x:c r="K88" s="28" t="n">
        <x:v>45731</x:v>
      </x:c>
      <x:c r="L88" s="32" t="n">
        <x:v>2</x:v>
      </x:c>
      <x:c r="M88" t="str">
        <x:v>pack</x:v>
      </x:c>
      <x:c r="N88" s="30" t="n">
        <x:v>37.16</x:v>
      </x:c>
      <x:c r="O88" s="30" t="n">
        <x:v>29</x:v>
      </x:c>
      <x:c r="P88" s="30" t="n">
        <x:f>L88*N88+O88</x:f>
        <x:v>103.32</x:v>
      </x:c>
      <x:c r="Q88" s="32" t="n">
        <x:f>J88-I88</x:f>
        <x:v>4</x:v>
      </x:c>
      <x:c r="R88" s="32" t="n">
        <x:f>IF(K88="","",K88-I88)</x:f>
        <x:v>4</x:v>
      </x:c>
      <x:c r="S88" s="32" t="n">
        <x:f>IF(K88="","",MAX(0,K88-J88))</x:f>
        <x:v>0</x:v>
      </x:c>
      <x:c r="T88" t="str">
        <x:f>IF(K88="","PENDING",IF(K88&lt;=J88,"ON_TIME","LATE"))</x:f>
        <x:v>ON_TIME</x:v>
      </x:c>
      <x:c r="U88" t="str">
        <x:v>ACCEPTED</x:v>
      </x:c>
      <x:c r="V88" t="str">
        <x:v>LOW</x:v>
      </x:c>
      <x:c r="W88" t="str">
        <x:v>SUP-07</x:v>
      </x:c>
      <x:c r="X88" t="str">
        <x:v>Vendor web</x:v>
      </x:c>
      <x:c r="Y88" t="str">
        <x:v>Routine replenishment</x:v>
      </x:c>
      <x:c r="Z88" s="9" t="str">
        <x:v>SYNTHETIC_DEMO</x:v>
      </x:c>
    </x:row>
    <x:row r="89">
      <x:c r="A89" t="str">
        <x:v>SIM-UA-0088</x:v>
      </x:c>
      <x:c r="B89" t="str">
        <x:v>Smartphone optical readout</x:v>
      </x:c>
      <x:c r="C89" t="str">
        <x:v>IMG-006</x:v>
      </x:c>
      <x:c r="D89" t="str">
        <x:v>Adjustable optical mount</x:v>
      </x:c>
      <x:c r="E89" t="str">
        <x:v>Manual adjustable stage, bench mount</x:v>
      </x:c>
      <x:c r="F89" t="str">
        <x:v>Prototype hardware</x:v>
      </x:c>
      <x:c r="G89" t="str">
        <x:v>SUP-06</x:v>
      </x:c>
      <x:c r="H89" t="str">
        <x:v>Southwest Imaging Parts</x:v>
      </x:c>
      <x:c r="I89" s="28" t="n">
        <x:v>45728</x:v>
      </x:c>
      <x:c r="J89" s="28" t="n">
        <x:v>45738</x:v>
      </x:c>
      <x:c r="K89" s="28" t="n">
        <x:v>45738</x:v>
      </x:c>
      <x:c r="L89" s="32" t="n">
        <x:v>3</x:v>
      </x:c>
      <x:c r="M89" t="str">
        <x:v>unit</x:v>
      </x:c>
      <x:c r="N89" s="30" t="n">
        <x:v>143.21</x:v>
      </x:c>
      <x:c r="O89" s="30" t="n">
        <x:v>8.5</x:v>
      </x:c>
      <x:c r="P89" s="30" t="n">
        <x:f>L89*N89+O89</x:f>
        <x:v>438.13</x:v>
      </x:c>
      <x:c r="Q89" s="32" t="n">
        <x:f>J89-I89</x:f>
        <x:v>10</x:v>
      </x:c>
      <x:c r="R89" s="32" t="n">
        <x:f>IF(K89="","",K89-I89)</x:f>
        <x:v>10</x:v>
      </x:c>
      <x:c r="S89" s="32" t="n">
        <x:f>IF(K89="","",MAX(0,K89-J89))</x:f>
        <x:v>0</x:v>
      </x:c>
      <x:c r="T89" t="str">
        <x:f>IF(K89="","PENDING",IF(K89&lt;=J89,"ON_TIME","LATE"))</x:f>
        <x:v>ON_TIME</x:v>
      </x:c>
      <x:c r="U89" t="str">
        <x:v>ACCEPTED</x:v>
      </x:c>
      <x:c r="V89" t="str">
        <x:v>MEDIUM</x:v>
      </x:c>
      <x:c r="W89" t="str">
        <x:v>SUP-08</x:v>
      </x:c>
      <x:c r="X89" t="str">
        <x:v>Institutional catalog</x:v>
      </x:c>
      <x:c r="Y89" t="str"/>
      <x:c r="Z89" s="9" t="str">
        <x:v>SYNTHETIC_DEMO</x:v>
      </x:c>
    </x:row>
    <x:row r="90">
      <x:c r="A90" t="str">
        <x:v>SIM-UA-0089</x:v>
      </x:c>
      <x:c r="B90" t="str">
        <x:v>IMCD kidney-on-a-chip</x:v>
      </x:c>
      <x:c r="C90" t="str">
        <x:v>OOC-007</x:v>
      </x:c>
      <x:c r="D90" t="str">
        <x:v>Sterile syringes</x:v>
      </x:c>
      <x:c r="E90" t="str">
        <x:v>10 mL, 100/box</x:v>
      </x:c>
      <x:c r="F90" t="str">
        <x:v>Fluidics hardware</x:v>
      </x:c>
      <x:c r="G90" t="str">
        <x:v>SUP-05</x:v>
      </x:c>
      <x:c r="H90" t="str">
        <x:v>Tucson Fluidics Components</x:v>
      </x:c>
      <x:c r="I90" s="28" t="n">
        <x:v>45728</x:v>
      </x:c>
      <x:c r="J90" s="28" t="n">
        <x:v>45734</x:v>
      </x:c>
      <x:c r="K90" s="28" t="n">
        <x:v>45734</x:v>
      </x:c>
      <x:c r="L90" s="32" t="n">
        <x:v>3</x:v>
      </x:c>
      <x:c r="M90" t="str">
        <x:v>box</x:v>
      </x:c>
      <x:c r="N90" s="30" t="n">
        <x:v>70.06</x:v>
      </x:c>
      <x:c r="O90" s="30" t="n">
        <x:v>12</x:v>
      </x:c>
      <x:c r="P90" s="30" t="n">
        <x:f>L90*N90+O90</x:f>
        <x:v>222.18</x:v>
      </x:c>
      <x:c r="Q90" s="32" t="n">
        <x:f>J90-I90</x:f>
        <x:v>6</x:v>
      </x:c>
      <x:c r="R90" s="32" t="n">
        <x:f>IF(K90="","",K90-I90)</x:f>
        <x:v>6</x:v>
      </x:c>
      <x:c r="S90" s="32" t="n">
        <x:f>IF(K90="","",MAX(0,K90-J90))</x:f>
        <x:v>0</x:v>
      </x:c>
      <x:c r="T90" t="str">
        <x:f>IF(K90="","PENDING",IF(K90&lt;=J90,"ON_TIME","LATE"))</x:f>
        <x:v>ON_TIME</x:v>
      </x:c>
      <x:c r="U90" t="str">
        <x:v>ACCEPTED</x:v>
      </x:c>
      <x:c r="V90" t="str">
        <x:v>MEDIUM</x:v>
      </x:c>
      <x:c r="W90" t="str">
        <x:v>SUP-01</x:v>
      </x:c>
      <x:c r="X90" t="str">
        <x:v>Quote-to-PO</x:v>
      </x:c>
      <x:c r="Y90" t="str">
        <x:v>Experiment schedule-driven reorder</x:v>
      </x:c>
      <x:c r="Z90" s="9" t="str">
        <x:v>SYNTHETIC_DEMO</x:v>
      </x:c>
    </x:row>
    <x:row r="91">
      <x:c r="A91" t="str">
        <x:v>SIM-UA-0090</x:v>
      </x:c>
      <x:c r="B91" t="str">
        <x:v>IMCD kidney-on-a-chip</x:v>
      </x:c>
      <x:c r="C91" t="str">
        <x:v>OOC-004</x:v>
      </x:c>
      <x:c r="D91" t="str">
        <x:v>Glass cover slips</x:v>
      </x:c>
      <x:c r="E91" t="str">
        <x:v>No. 1.5, 100/pack</x:v>
      </x:c>
      <x:c r="F91" t="str">
        <x:v>Chip fabrication</x:v>
      </x:c>
      <x:c r="G91" t="str">
        <x:v>SUP-01</x:v>
      </x:c>
      <x:c r="H91" t="str">
        <x:v>Sonoran Scientific Supply</x:v>
      </x:c>
      <x:c r="I91" s="28" t="n">
        <x:v>45728</x:v>
      </x:c>
      <x:c r="J91" s="28" t="n">
        <x:v>45736</x:v>
      </x:c>
      <x:c r="K91" s="28" t="n">
        <x:v>45736</x:v>
      </x:c>
      <x:c r="L91" s="32" t="n">
        <x:v>1</x:v>
      </x:c>
      <x:c r="M91" t="str">
        <x:v>pack</x:v>
      </x:c>
      <x:c r="N91" s="30" t="n">
        <x:v>45.39</x:v>
      </x:c>
      <x:c r="O91" s="30" t="n">
        <x:v>15</x:v>
      </x:c>
      <x:c r="P91" s="30" t="n">
        <x:f>L91*N91+O91</x:f>
        <x:v>60.39</x:v>
      </x:c>
      <x:c r="Q91" s="32" t="n">
        <x:f>J91-I91</x:f>
        <x:v>8</x:v>
      </x:c>
      <x:c r="R91" s="32" t="n">
        <x:f>IF(K91="","",K91-I91)</x:f>
        <x:v>8</x:v>
      </x:c>
      <x:c r="S91" s="32" t="n">
        <x:f>IF(K91="","",MAX(0,K91-J91))</x:f>
        <x:v>0</x:v>
      </x:c>
      <x:c r="T91" t="str">
        <x:f>IF(K91="","PENDING",IF(K91&lt;=J91,"ON_TIME","LATE"))</x:f>
        <x:v>ON_TIME</x:v>
      </x:c>
      <x:c r="U91" t="str">
        <x:v>ACCEPTED</x:v>
      </x:c>
      <x:c r="V91" t="str">
        <x:v>MEDIUM</x:v>
      </x:c>
      <x:c r="W91" t="str">
        <x:v>SUP-04</x:v>
      </x:c>
      <x:c r="X91" t="str">
        <x:v>Institutional catalog</x:v>
      </x:c>
      <x:c r="Y91" t="str">
        <x:v>Prototype iteration demand</x:v>
      </x:c>
      <x:c r="Z91" s="9" t="str">
        <x:v>SYNTHETIC_DEMO</x:v>
      </x:c>
    </x:row>
    <x:row r="92">
      <x:c r="A92" t="str">
        <x:v>SIM-UA-0091</x:v>
      </x:c>
      <x:c r="B92" t="str">
        <x:v>Smartphone optical readout</x:v>
      </x:c>
      <x:c r="C92" t="str">
        <x:v>IMG-003</x:v>
      </x:c>
      <x:c r="D92" t="str">
        <x:v>Calibration color target</x:v>
      </x:c>
      <x:c r="E92" t="str">
        <x:v>Color/gray reference card, small format</x:v>
      </x:c>
      <x:c r="F92" t="str">
        <x:v>Optics &amp; electronics</x:v>
      </x:c>
      <x:c r="G92" t="str">
        <x:v>SUP-07</x:v>
      </x:c>
      <x:c r="H92" t="str">
        <x:v>RapidLab Alternate Source</x:v>
      </x:c>
      <x:c r="I92" s="28" t="n">
        <x:v>45729</x:v>
      </x:c>
      <x:c r="J92" s="28" t="n">
        <x:v>45736</x:v>
      </x:c>
      <x:c r="K92" s="28" t="n">
        <x:v>45743</x:v>
      </x:c>
      <x:c r="L92" s="32" t="n">
        <x:v>2</x:v>
      </x:c>
      <x:c r="M92" t="str">
        <x:v>unit</x:v>
      </x:c>
      <x:c r="N92" s="30" t="n">
        <x:v>58.96</x:v>
      </x:c>
      <x:c r="O92" s="30" t="n">
        <x:v>18</x:v>
      </x:c>
      <x:c r="P92" s="30" t="n">
        <x:f>L92*N92+O92</x:f>
        <x:v>135.92000000000002</x:v>
      </x:c>
      <x:c r="Q92" s="32" t="n">
        <x:f>J92-I92</x:f>
        <x:v>7</x:v>
      </x:c>
      <x:c r="R92" s="32" t="n">
        <x:f>IF(K92="","",K92-I92)</x:f>
        <x:v>14</x:v>
      </x:c>
      <x:c r="S92" s="32" t="n">
        <x:f>IF(K92="","",MAX(0,K92-J92))</x:f>
        <x:v>7</x:v>
      </x:c>
      <x:c r="T92" t="str">
        <x:f>IF(K92="","PENDING",IF(K92&lt;=J92,"ON_TIME","LATE"))</x:f>
        <x:v>LATE</x:v>
      </x:c>
      <x:c r="U92" t="str">
        <x:v>ACCEPTED</x:v>
      </x:c>
      <x:c r="V92" t="str">
        <x:v>MEDIUM</x:v>
      </x:c>
      <x:c r="W92" t="str">
        <x:v>SUP-06</x:v>
      </x:c>
      <x:c r="X92" t="str">
        <x:v>Institutional catalog</x:v>
      </x:c>
      <x:c r="Y92" t="str">
        <x:v>Illustrative delivery delay; review alternate sourcing</x:v>
      </x:c>
      <x:c r="Z92" s="9" t="str">
        <x:v>SYNTHETIC_DEMO</x:v>
      </x:c>
    </x:row>
    <x:row r="93">
      <x:c r="A93" t="str">
        <x:v>SIM-UA-0092</x:v>
      </x:c>
      <x:c r="B93" t="str">
        <x:v>IMCD kidney-on-a-chip</x:v>
      </x:c>
      <x:c r="C93" t="str">
        <x:v>OOC-003</x:v>
      </x:c>
      <x:c r="D93" t="str">
        <x:v>Microscope glass slides</x:v>
      </x:c>
      <x:c r="E93" t="str">
        <x:v>75 × 25 mm, 72/box</x:v>
      </x:c>
      <x:c r="F93" t="str">
        <x:v>Chip fabrication</x:v>
      </x:c>
      <x:c r="G93" t="str">
        <x:v>SUP-01</x:v>
      </x:c>
      <x:c r="H93" t="str">
        <x:v>Sonoran Scientific Supply</x:v>
      </x:c>
      <x:c r="I93" s="28" t="n">
        <x:v>45729</x:v>
      </x:c>
      <x:c r="J93" s="28" t="n">
        <x:v>45738</x:v>
      </x:c>
      <x:c r="K93" s="28" t="n">
        <x:v>45738</x:v>
      </x:c>
      <x:c r="L93" s="32" t="n">
        <x:v>1</x:v>
      </x:c>
      <x:c r="M93" t="str">
        <x:v>box</x:v>
      </x:c>
      <x:c r="N93" s="30" t="n">
        <x:v>33.91</x:v>
      </x:c>
      <x:c r="O93" s="30" t="n">
        <x:v>8.5</x:v>
      </x:c>
      <x:c r="P93" s="30" t="n">
        <x:f>L93*N93+O93</x:f>
        <x:v>42.41</x:v>
      </x:c>
      <x:c r="Q93" s="32" t="n">
        <x:f>J93-I93</x:f>
        <x:v>9</x:v>
      </x:c>
      <x:c r="R93" s="32" t="n">
        <x:f>IF(K93="","",K93-I93)</x:f>
        <x:v>9</x:v>
      </x:c>
      <x:c r="S93" s="32" t="n">
        <x:f>IF(K93="","",MAX(0,K93-J93))</x:f>
        <x:v>0</x:v>
      </x:c>
      <x:c r="T93" t="str">
        <x:f>IF(K93="","PENDING",IF(K93&lt;=J93,"ON_TIME","LATE"))</x:f>
        <x:v>ON_TIME</x:v>
      </x:c>
      <x:c r="U93" t="str">
        <x:v>ACCEPTED</x:v>
      </x:c>
      <x:c r="V93" t="str">
        <x:v>MEDIUM</x:v>
      </x:c>
      <x:c r="W93" t="str">
        <x:v>SUP-04</x:v>
      </x:c>
      <x:c r="X93" t="str">
        <x:v>Vendor web</x:v>
      </x:c>
      <x:c r="Y93" t="str">
        <x:v>Prototype iteration demand</x:v>
      </x:c>
      <x:c r="Z93" s="9" t="str">
        <x:v>SYNTHETIC_DEMO</x:v>
      </x:c>
    </x:row>
    <x:row r="94">
      <x:c r="A94" t="str">
        <x:v>SIM-UA-0093</x:v>
      </x:c>
      <x:c r="B94" t="str">
        <x:v>IMCD kidney-on-a-chip</x:v>
      </x:c>
      <x:c r="C94" t="str">
        <x:v>OOC-007</x:v>
      </x:c>
      <x:c r="D94" t="str">
        <x:v>Sterile syringes</x:v>
      </x:c>
      <x:c r="E94" t="str">
        <x:v>10 mL, 100/box</x:v>
      </x:c>
      <x:c r="F94" t="str">
        <x:v>Fluidics hardware</x:v>
      </x:c>
      <x:c r="G94" t="str">
        <x:v>SUP-05</x:v>
      </x:c>
      <x:c r="H94" t="str">
        <x:v>Tucson Fluidics Components</x:v>
      </x:c>
      <x:c r="I94" s="28" t="n">
        <x:v>45729</x:v>
      </x:c>
      <x:c r="J94" s="28" t="n">
        <x:v>45735</x:v>
      </x:c>
      <x:c r="K94" s="28" t="n">
        <x:v>45735</x:v>
      </x:c>
      <x:c r="L94" s="32" t="n">
        <x:v>2</x:v>
      </x:c>
      <x:c r="M94" t="str">
        <x:v>box</x:v>
      </x:c>
      <x:c r="N94" s="30" t="n">
        <x:v>67.73</x:v>
      </x:c>
      <x:c r="O94" s="30" t="n">
        <x:v>8.5</x:v>
      </x:c>
      <x:c r="P94" s="30" t="n">
        <x:f>L94*N94+O94</x:f>
        <x:v>143.96</x:v>
      </x:c>
      <x:c r="Q94" s="32" t="n">
        <x:f>J94-I94</x:f>
        <x:v>6</x:v>
      </x:c>
      <x:c r="R94" s="32" t="n">
        <x:f>IF(K94="","",K94-I94)</x:f>
        <x:v>6</x:v>
      </x:c>
      <x:c r="S94" s="32" t="n">
        <x:f>IF(K94="","",MAX(0,K94-J94))</x:f>
        <x:v>0</x:v>
      </x:c>
      <x:c r="T94" t="str">
        <x:f>IF(K94="","PENDING",IF(K94&lt;=J94,"ON_TIME","LATE"))</x:f>
        <x:v>ON_TIME</x:v>
      </x:c>
      <x:c r="U94" t="str">
        <x:v>ACCEPTED</x:v>
      </x:c>
      <x:c r="V94" t="str">
        <x:v>MEDIUM</x:v>
      </x:c>
      <x:c r="W94" t="str">
        <x:v>SUP-01</x:v>
      </x:c>
      <x:c r="X94" t="str">
        <x:v>Institutional catalog</x:v>
      </x:c>
      <x:c r="Y94" t="str">
        <x:v>Routine replenishment</x:v>
      </x:c>
      <x:c r="Z94" s="9" t="str">
        <x:v>SYNTHETIC_DEMO</x:v>
      </x:c>
    </x:row>
    <x:row r="95">
      <x:c r="A95" t="str">
        <x:v>SIM-UA-0094</x:v>
      </x:c>
      <x:c r="B95" t="str">
        <x:v>IMCD kidney-on-a-chip</x:v>
      </x:c>
      <x:c r="C95" t="str">
        <x:v>OOC-011</x:v>
      </x:c>
      <x:c r="D95" t="str">
        <x:v>Penicillin-streptomycin</x:v>
      </x:c>
      <x:c r="E95" t="str">
        <x:v>100 mL, 100x solution</x:v>
      </x:c>
      <x:c r="F95" t="str">
        <x:v>Cell culture</x:v>
      </x:c>
      <x:c r="G95" t="str">
        <x:v>SUP-02</x:v>
      </x:c>
      <x:c r="H95" t="str">
        <x:v>Desert BioReagents</x:v>
      </x:c>
      <x:c r="I95" s="28" t="n">
        <x:v>45730</x:v>
      </x:c>
      <x:c r="J95" s="28" t="n">
        <x:v>45736</x:v>
      </x:c>
      <x:c r="K95" s="28" t="n">
        <x:v>45736</x:v>
      </x:c>
      <x:c r="L95" s="32" t="n">
        <x:v>1</x:v>
      </x:c>
      <x:c r="M95" t="str">
        <x:v>bottle</x:v>
      </x:c>
      <x:c r="N95" s="30" t="n">
        <x:v>39.14</x:v>
      </x:c>
      <x:c r="O95" s="30" t="n">
        <x:v>0</x:v>
      </x:c>
      <x:c r="P95" s="30" t="n">
        <x:f>L95*N95+O95</x:f>
        <x:v>39.14</x:v>
      </x:c>
      <x:c r="Q95" s="32" t="n">
        <x:f>J95-I95</x:f>
        <x:v>6</x:v>
      </x:c>
      <x:c r="R95" s="32" t="n">
        <x:f>IF(K95="","",K95-I95)</x:f>
        <x:v>6</x:v>
      </x:c>
      <x:c r="S95" s="32" t="n">
        <x:f>IF(K95="","",MAX(0,K95-J95))</x:f>
        <x:v>0</x:v>
      </x:c>
      <x:c r="T95" t="str">
        <x:f>IF(K95="","PENDING",IF(K95&lt;=J95,"ON_TIME","LATE"))</x:f>
        <x:v>ON_TIME</x:v>
      </x:c>
      <x:c r="U95" t="str">
        <x:v>ACCEPTED</x:v>
      </x:c>
      <x:c r="V95" t="str">
        <x:v>MEDIUM</x:v>
      </x:c>
      <x:c r="W95" t="str">
        <x:v>SUP-01</x:v>
      </x:c>
      <x:c r="X95" t="str">
        <x:v>Quote-to-PO</x:v>
      </x:c>
      <x:c r="Y95" t="str"/>
      <x:c r="Z95" s="9" t="str">
        <x:v>SYNTHETIC_DEMO</x:v>
      </x:c>
    </x:row>
    <x:row r="96">
      <x:c r="A96" t="str">
        <x:v>SIM-UA-0095</x:v>
      </x:c>
      <x:c r="B96" t="str">
        <x:v>Paper microfluidics (SALSA)</x:v>
      </x:c>
      <x:c r="C96" t="str">
        <x:v>PAP-009</x:v>
      </x:c>
      <x:c r="D96" t="str">
        <x:v>Food-safe model dye set</x:v>
      </x:c>
      <x:c r="E96" t="str">
        <x:v>Colored tracer liquids for imaging calibration</x:v>
      </x:c>
      <x:c r="F96" t="str">
        <x:v>Assay reagents</x:v>
      </x:c>
      <x:c r="G96" t="str">
        <x:v>SUP-07</x:v>
      </x:c>
      <x:c r="H96" t="str">
        <x:v>RapidLab Alternate Source</x:v>
      </x:c>
      <x:c r="I96" s="28" t="n">
        <x:v>45731</x:v>
      </x:c>
      <x:c r="J96" s="28" t="n">
        <x:v>45738</x:v>
      </x:c>
      <x:c r="K96" s="28" t="n">
        <x:v>45740</x:v>
      </x:c>
      <x:c r="L96" s="32" t="n">
        <x:v>3</x:v>
      </x:c>
      <x:c r="M96" t="str">
        <x:v>kit</x:v>
      </x:c>
      <x:c r="N96" s="30" t="n">
        <x:v>39.37</x:v>
      </x:c>
      <x:c r="O96" s="30" t="n">
        <x:v>8.5</x:v>
      </x:c>
      <x:c r="P96" s="30" t="n">
        <x:f>L96*N96+O96</x:f>
        <x:v>126.60999999999999</x:v>
      </x:c>
      <x:c r="Q96" s="32" t="n">
        <x:f>J96-I96</x:f>
        <x:v>7</x:v>
      </x:c>
      <x:c r="R96" s="32" t="n">
        <x:f>IF(K96="","",K96-I96)</x:f>
        <x:v>9</x:v>
      </x:c>
      <x:c r="S96" s="32" t="n">
        <x:f>IF(K96="","",MAX(0,K96-J96))</x:f>
        <x:v>2</x:v>
      </x:c>
      <x:c r="T96" t="str">
        <x:f>IF(K96="","PENDING",IF(K96&lt;=J96,"ON_TIME","LATE"))</x:f>
        <x:v>LATE</x:v>
      </x:c>
      <x:c r="U96" t="str">
        <x:v>ACCEPTED</x:v>
      </x:c>
      <x:c r="V96" t="str">
        <x:v>LOW</x:v>
      </x:c>
      <x:c r="W96" t="str">
        <x:v>SUP-01</x:v>
      </x:c>
      <x:c r="X96" t="str">
        <x:v>Vendor web</x:v>
      </x:c>
      <x:c r="Y96" t="str"/>
      <x:c r="Z96" s="9" t="str">
        <x:v>SYNTHETIC_DEMO</x:v>
      </x:c>
    </x:row>
    <x:row r="97">
      <x:c r="A97" t="str">
        <x:v>SIM-UA-0096</x:v>
      </x:c>
      <x:c r="B97" t="str">
        <x:v>IMCD kidney-on-a-chip</x:v>
      </x:c>
      <x:c r="C97" t="str">
        <x:v>OOC-015</x:v>
      </x:c>
      <x:c r="D97" t="str">
        <x:v>Syringe filters</x:v>
      </x:c>
      <x:c r="E97" t="str">
        <x:v>0.22 µm, sterile, 50/pack</x:v>
      </x:c>
      <x:c r="F97" t="str">
        <x:v>Cell culture</x:v>
      </x:c>
      <x:c r="G97" t="str">
        <x:v>SUP-02</x:v>
      </x:c>
      <x:c r="H97" t="str">
        <x:v>Desert BioReagents</x:v>
      </x:c>
      <x:c r="I97" s="28" t="n">
        <x:v>45731</x:v>
      </x:c>
      <x:c r="J97" s="28" t="n">
        <x:v>45739</x:v>
      </x:c>
      <x:c r="K97" s="28" t="n">
        <x:v>45742</x:v>
      </x:c>
      <x:c r="L97" s="32" t="n">
        <x:v>1</x:v>
      </x:c>
      <x:c r="M97" t="str">
        <x:v>pack</x:v>
      </x:c>
      <x:c r="N97" s="30" t="n">
        <x:v>93.22</x:v>
      </x:c>
      <x:c r="O97" s="30" t="n">
        <x:v>15</x:v>
      </x:c>
      <x:c r="P97" s="30" t="n">
        <x:f>L97*N97+O97</x:f>
        <x:v>108.22</x:v>
      </x:c>
      <x:c r="Q97" s="32" t="n">
        <x:f>J97-I97</x:f>
        <x:v>8</x:v>
      </x:c>
      <x:c r="R97" s="32" t="n">
        <x:f>IF(K97="","",K97-I97)</x:f>
        <x:v>11</x:v>
      </x:c>
      <x:c r="S97" s="32" t="n">
        <x:f>IF(K97="","",MAX(0,K97-J97))</x:f>
        <x:v>3</x:v>
      </x:c>
      <x:c r="T97" t="str">
        <x:f>IF(K97="","PENDING",IF(K97&lt;=J97,"ON_TIME","LATE"))</x:f>
        <x:v>LATE</x:v>
      </x:c>
      <x:c r="U97" t="str">
        <x:v>ACCEPTED</x:v>
      </x:c>
      <x:c r="V97" t="str">
        <x:v>MEDIUM</x:v>
      </x:c>
      <x:c r="W97" t="str">
        <x:v>SUP-01</x:v>
      </x:c>
      <x:c r="X97" t="str">
        <x:v>Institutional catalog</x:v>
      </x:c>
      <x:c r="Y97" t="str">
        <x:v>Prototype iteration demand</x:v>
      </x:c>
      <x:c r="Z97" s="9" t="str">
        <x:v>SYNTHETIC_DEMO</x:v>
      </x:c>
    </x:row>
    <x:row r="98">
      <x:c r="A98" t="str">
        <x:v>SIM-UA-0097</x:v>
      </x:c>
      <x:c r="B98" t="str">
        <x:v>Paper microfluidics (SALSA)</x:v>
      </x:c>
      <x:c r="C98" t="str">
        <x:v>PAP-008</x:v>
      </x:c>
      <x:c r="D98" t="str">
        <x:v>Bovine serum albumin</x:v>
      </x:c>
      <x:c r="E98" t="str">
        <x:v>BSA, 100 g, analytical grade</x:v>
      </x:c>
      <x:c r="F98" t="str">
        <x:v>Assay reagents</x:v>
      </x:c>
      <x:c r="G98" t="str">
        <x:v>SUP-01</x:v>
      </x:c>
      <x:c r="H98" t="str">
        <x:v>Sonoran Scientific Supply</x:v>
      </x:c>
      <x:c r="I98" s="28" t="n">
        <x:v>45734</x:v>
      </x:c>
      <x:c r="J98" s="28" t="n">
        <x:v>45740</x:v>
      </x:c>
      <x:c r="K98" s="28" t="n">
        <x:v>45740</x:v>
      </x:c>
      <x:c r="L98" s="32" t="n">
        <x:v>2</x:v>
      </x:c>
      <x:c r="M98" t="str">
        <x:v>bottle</x:v>
      </x:c>
      <x:c r="N98" s="30" t="n">
        <x:v>125.32</x:v>
      </x:c>
      <x:c r="O98" s="30" t="n">
        <x:v>12</x:v>
      </x:c>
      <x:c r="P98" s="30" t="n">
        <x:f>L98*N98+O98</x:f>
        <x:v>262.64</x:v>
      </x:c>
      <x:c r="Q98" s="32" t="n">
        <x:f>J98-I98</x:f>
        <x:v>6</x:v>
      </x:c>
      <x:c r="R98" s="32" t="n">
        <x:f>IF(K98="","",K98-I98)</x:f>
        <x:v>6</x:v>
      </x:c>
      <x:c r="S98" s="32" t="n">
        <x:f>IF(K98="","",MAX(0,K98-J98))</x:f>
        <x:v>0</x:v>
      </x:c>
      <x:c r="T98" t="str">
        <x:f>IF(K98="","PENDING",IF(K98&lt;=J98,"ON_TIME","LATE"))</x:f>
        <x:v>ON_TIME</x:v>
      </x:c>
      <x:c r="U98" t="str">
        <x:v>ACCEPTED</x:v>
      </x:c>
      <x:c r="V98" t="str">
        <x:v>MEDIUM</x:v>
      </x:c>
      <x:c r="W98" t="str">
        <x:v>SUP-02</x:v>
      </x:c>
      <x:c r="X98" t="str">
        <x:v>Quote-to-PO</x:v>
      </x:c>
      <x:c r="Y98" t="str">
        <x:v>Routine replenishment</x:v>
      </x:c>
      <x:c r="Z98" s="9" t="str">
        <x:v>SYNTHETIC_DEMO</x:v>
      </x:c>
    </x:row>
    <x:row r="99">
      <x:c r="A99" t="str">
        <x:v>SIM-UA-0098</x:v>
      </x:c>
      <x:c r="B99" t="str">
        <x:v>IMCD kidney-on-a-chip</x:v>
      </x:c>
      <x:c r="C99" t="str">
        <x:v>OOC-008</x:v>
      </x:c>
      <x:c r="D99" t="str">
        <x:v>Flow restrictors and valves</x:v>
      </x:c>
      <x:c r="E99" t="str">
        <x:v>Small-bore fluidic assortment</x:v>
      </x:c>
      <x:c r="F99" t="str">
        <x:v>Fluidics hardware</x:v>
      </x:c>
      <x:c r="G99" t="str">
        <x:v>SUP-04</x:v>
      </x:c>
      <x:c r="H99" t="str">
        <x:v>Canyon Microfabrication</x:v>
      </x:c>
      <x:c r="I99" s="28" t="n">
        <x:v>45734</x:v>
      </x:c>
      <x:c r="J99" s="28" t="n">
        <x:v>45746</x:v>
      </x:c>
      <x:c r="K99" s="28" t="n">
        <x:v>45745</x:v>
      </x:c>
      <x:c r="L99" s="32" t="n">
        <x:v>1</x:v>
      </x:c>
      <x:c r="M99" t="str">
        <x:v>set</x:v>
      </x:c>
      <x:c r="N99" s="30" t="n">
        <x:v>139.28</x:v>
      </x:c>
      <x:c r="O99" s="30" t="n">
        <x:v>0</x:v>
      </x:c>
      <x:c r="P99" s="30" t="n">
        <x:f>L99*N99+O99</x:f>
        <x:v>139.28</x:v>
      </x:c>
      <x:c r="Q99" s="32" t="n">
        <x:f>J99-I99</x:f>
        <x:v>12</x:v>
      </x:c>
      <x:c r="R99" s="32" t="n">
        <x:f>IF(K99="","",K99-I99)</x:f>
        <x:v>11</x:v>
      </x:c>
      <x:c r="S99" s="32" t="n">
        <x:f>IF(K99="","",MAX(0,K99-J99))</x:f>
        <x:v>0</x:v>
      </x:c>
      <x:c r="T99" t="str">
        <x:f>IF(K99="","PENDING",IF(K99&lt;=J99,"ON_TIME","LATE"))</x:f>
        <x:v>ON_TIME</x:v>
      </x:c>
      <x:c r="U99" t="str">
        <x:v>ACCEPTED</x:v>
      </x:c>
      <x:c r="V99" t="str">
        <x:v>HIGH</x:v>
      </x:c>
      <x:c r="W99" t="str">
        <x:v>SUP-05</x:v>
      </x:c>
      <x:c r="X99" t="str">
        <x:v>Institutional catalog</x:v>
      </x:c>
      <x:c r="Y99" t="str">
        <x:v>Routine replenishment</x:v>
      </x:c>
      <x:c r="Z99" s="9" t="str">
        <x:v>SYNTHETIC_DEMO</x:v>
      </x:c>
    </x:row>
    <x:row r="100">
      <x:c r="A100" t="str">
        <x:v>SIM-UA-0099</x:v>
      </x:c>
      <x:c r="B100" t="str">
        <x:v>Paper microfluidics (SALSA)</x:v>
      </x:c>
      <x:c r="C100" t="str">
        <x:v>PAP-001</x:v>
      </x:c>
      <x:c r="D100" t="str">
        <x:v>Cellulose filter paper</x:v>
      </x:c>
      <x:c r="E100" t="str">
        <x:v>Grade 1, 100 sheets</x:v>
      </x:c>
      <x:c r="F100" t="str">
        <x:v>Paper &amp; membrane</x:v>
      </x:c>
      <x:c r="G100" t="str">
        <x:v>SUP-01</x:v>
      </x:c>
      <x:c r="H100" t="str">
        <x:v>Sonoran Scientific Supply</x:v>
      </x:c>
      <x:c r="I100" s="28" t="n">
        <x:v>45736</x:v>
      </x:c>
      <x:c r="J100" s="28" t="n">
        <x:v>45744</x:v>
      </x:c>
      <x:c r="K100" s="28" t="n">
        <x:v>45744</x:v>
      </x:c>
      <x:c r="L100" s="32" t="n">
        <x:v>1</x:v>
      </x:c>
      <x:c r="M100" t="str">
        <x:v>pack</x:v>
      </x:c>
      <x:c r="N100" s="30" t="n">
        <x:v>47.19</x:v>
      </x:c>
      <x:c r="O100" s="30" t="n">
        <x:v>15</x:v>
      </x:c>
      <x:c r="P100" s="30" t="n">
        <x:f>L100*N100+O100</x:f>
        <x:v>62.19</x:v>
      </x:c>
      <x:c r="Q100" s="32" t="n">
        <x:f>J100-I100</x:f>
        <x:v>8</x:v>
      </x:c>
      <x:c r="R100" s="32" t="n">
        <x:f>IF(K100="","",K100-I100)</x:f>
        <x:v>8</x:v>
      </x:c>
      <x:c r="S100" s="32" t="n">
        <x:f>IF(K100="","",MAX(0,K100-J100))</x:f>
        <x:v>0</x:v>
      </x:c>
      <x:c r="T100" t="str">
        <x:f>IF(K100="","PENDING",IF(K100&lt;=J100,"ON_TIME","LATE"))</x:f>
        <x:v>ON_TIME</x:v>
      </x:c>
      <x:c r="U100" t="str">
        <x:v>ACCEPTED</x:v>
      </x:c>
      <x:c r="V100" t="str">
        <x:v>MEDIUM</x:v>
      </x:c>
      <x:c r="W100" t="str">
        <x:v>SUP-03</x:v>
      </x:c>
      <x:c r="X100" t="str">
        <x:v>Vendor web</x:v>
      </x:c>
      <x:c r="Y100" t="str">
        <x:v>Routine replenishment</x:v>
      </x:c>
      <x:c r="Z100" s="9" t="str">
        <x:v>SYNTHETIC_DEMO</x:v>
      </x:c>
    </x:row>
    <x:row r="101">
      <x:c r="A101" t="str">
        <x:v>SIM-UA-0100</x:v>
      </x:c>
      <x:c r="B101" t="str">
        <x:v>IMCD kidney-on-a-chip</x:v>
      </x:c>
      <x:c r="C101" t="str">
        <x:v>OOC-009</x:v>
      </x:c>
      <x:c r="D101" t="str">
        <x:v>DMEM/F-12 medium</x:v>
      </x:c>
      <x:c r="E101" t="str">
        <x:v>500 mL, sterile cell culture medium</x:v>
      </x:c>
      <x:c r="F101" t="str">
        <x:v>Cell culture</x:v>
      </x:c>
      <x:c r="G101" t="str">
        <x:v>SUP-02</x:v>
      </x:c>
      <x:c r="H101" t="str">
        <x:v>Desert BioReagents</x:v>
      </x:c>
      <x:c r="I101" s="28" t="n">
        <x:v>45736</x:v>
      </x:c>
      <x:c r="J101" s="28" t="n">
        <x:v>45740</x:v>
      </x:c>
      <x:c r="K101" s="28" t="n">
        <x:v>45740</x:v>
      </x:c>
      <x:c r="L101" s="32" t="n">
        <x:v>2</x:v>
      </x:c>
      <x:c r="M101" t="str">
        <x:v>bottle</x:v>
      </x:c>
      <x:c r="N101" s="30" t="n">
        <x:v>45.38</x:v>
      </x:c>
      <x:c r="O101" s="30" t="n">
        <x:v>0</x:v>
      </x:c>
      <x:c r="P101" s="30" t="n">
        <x:f>L101*N101+O101</x:f>
        <x:v>90.76</x:v>
      </x:c>
      <x:c r="Q101" s="32" t="n">
        <x:f>J101-I101</x:f>
        <x:v>4</x:v>
      </x:c>
      <x:c r="R101" s="32" t="n">
        <x:f>IF(K101="","",K101-I101)</x:f>
        <x:v>4</x:v>
      </x:c>
      <x:c r="S101" s="32" t="n">
        <x:f>IF(K101="","",MAX(0,K101-J101))</x:f>
        <x:v>0</x:v>
      </x:c>
      <x:c r="T101" t="str">
        <x:f>IF(K101="","PENDING",IF(K101&lt;=J101,"ON_TIME","LATE"))</x:f>
        <x:v>ON_TIME</x:v>
      </x:c>
      <x:c r="U101" t="str">
        <x:v>ACCEPTED</x:v>
      </x:c>
      <x:c r="V101" t="str">
        <x:v>HIGH</x:v>
      </x:c>
      <x:c r="W101" t="str">
        <x:v>SUP-01</x:v>
      </x:c>
      <x:c r="X101" t="str">
        <x:v>Institutional catalog</x:v>
      </x:c>
      <x:c r="Y101" t="str"/>
      <x:c r="Z101" s="9" t="str">
        <x:v>SYNTHETIC_DEMO</x:v>
      </x:c>
    </x:row>
    <x:row r="102">
      <x:c r="A102" t="str">
        <x:v>SIM-UA-0101</x:v>
      </x:c>
      <x:c r="B102" t="str">
        <x:v>IMCD kidney-on-a-chip</x:v>
      </x:c>
      <x:c r="C102" t="str">
        <x:v>OOC-004</x:v>
      </x:c>
      <x:c r="D102" t="str">
        <x:v>Glass cover slips</x:v>
      </x:c>
      <x:c r="E102" t="str">
        <x:v>No. 1.5, 100/pack</x:v>
      </x:c>
      <x:c r="F102" t="str">
        <x:v>Chip fabrication</x:v>
      </x:c>
      <x:c r="G102" t="str">
        <x:v>SUP-01</x:v>
      </x:c>
      <x:c r="H102" t="str">
        <x:v>Sonoran Scientific Supply</x:v>
      </x:c>
      <x:c r="I102" s="28" t="n">
        <x:v>45736</x:v>
      </x:c>
      <x:c r="J102" s="28" t="n">
        <x:v>45741</x:v>
      </x:c>
      <x:c r="K102" s="28" t="n">
        <x:v>45741</x:v>
      </x:c>
      <x:c r="L102" s="32" t="n">
        <x:v>1</x:v>
      </x:c>
      <x:c r="M102" t="str">
        <x:v>pack</x:v>
      </x:c>
      <x:c r="N102" s="30" t="n">
        <x:v>43.07</x:v>
      </x:c>
      <x:c r="O102" s="30" t="n">
        <x:v>8.5</x:v>
      </x:c>
      <x:c r="P102" s="30" t="n">
        <x:f>L102*N102+O102</x:f>
        <x:v>51.57</x:v>
      </x:c>
      <x:c r="Q102" s="32" t="n">
        <x:f>J102-I102</x:f>
        <x:v>5</x:v>
      </x:c>
      <x:c r="R102" s="32" t="n">
        <x:f>IF(K102="","",K102-I102)</x:f>
        <x:v>5</x:v>
      </x:c>
      <x:c r="S102" s="32" t="n">
        <x:f>IF(K102="","",MAX(0,K102-J102))</x:f>
        <x:v>0</x:v>
      </x:c>
      <x:c r="T102" t="str">
        <x:f>IF(K102="","PENDING",IF(K102&lt;=J102,"ON_TIME","LATE"))</x:f>
        <x:v>ON_TIME</x:v>
      </x:c>
      <x:c r="U102" t="str">
        <x:v>ACCEPTED</x:v>
      </x:c>
      <x:c r="V102" t="str">
        <x:v>MEDIUM</x:v>
      </x:c>
      <x:c r="W102" t="str">
        <x:v>SUP-04</x:v>
      </x:c>
      <x:c r="X102" t="str">
        <x:v>Vendor web</x:v>
      </x:c>
      <x:c r="Y102" t="str"/>
      <x:c r="Z102" s="9" t="str">
        <x:v>SYNTHETIC_DEMO</x:v>
      </x:c>
    </x:row>
    <x:row r="103">
      <x:c r="A103" t="str">
        <x:v>SIM-UA-0102</x:v>
      </x:c>
      <x:c r="B103" t="str">
        <x:v>IMCD kidney-on-a-chip</x:v>
      </x:c>
      <x:c r="C103" t="str">
        <x:v>OOC-011</x:v>
      </x:c>
      <x:c r="D103" t="str">
        <x:v>Penicillin-streptomycin</x:v>
      </x:c>
      <x:c r="E103" t="str">
        <x:v>100 mL, 100x solution</x:v>
      </x:c>
      <x:c r="F103" t="str">
        <x:v>Cell culture</x:v>
      </x:c>
      <x:c r="G103" t="str">
        <x:v>SUP-02</x:v>
      </x:c>
      <x:c r="H103" t="str">
        <x:v>Desert BioReagents</x:v>
      </x:c>
      <x:c r="I103" s="28" t="n">
        <x:v>45736</x:v>
      </x:c>
      <x:c r="J103" s="28" t="n">
        <x:v>45745</x:v>
      </x:c>
      <x:c r="K103" s="28" t="n">
        <x:v>45745</x:v>
      </x:c>
      <x:c r="L103" s="32" t="n">
        <x:v>1</x:v>
      </x:c>
      <x:c r="M103" t="str">
        <x:v>bottle</x:v>
      </x:c>
      <x:c r="N103" s="30" t="n">
        <x:v>44.65</x:v>
      </x:c>
      <x:c r="O103" s="30" t="n">
        <x:v>12</x:v>
      </x:c>
      <x:c r="P103" s="30" t="n">
        <x:f>L103*N103+O103</x:f>
        <x:v>56.65</x:v>
      </x:c>
      <x:c r="Q103" s="32" t="n">
        <x:f>J103-I103</x:f>
        <x:v>9</x:v>
      </x:c>
      <x:c r="R103" s="32" t="n">
        <x:f>IF(K103="","",K103-I103)</x:f>
        <x:v>9</x:v>
      </x:c>
      <x:c r="S103" s="32" t="n">
        <x:f>IF(K103="","",MAX(0,K103-J103))</x:f>
        <x:v>0</x:v>
      </x:c>
      <x:c r="T103" t="str">
        <x:f>IF(K103="","PENDING",IF(K103&lt;=J103,"ON_TIME","LATE"))</x:f>
        <x:v>ON_TIME</x:v>
      </x:c>
      <x:c r="U103" t="str">
        <x:v>ACCEPTED</x:v>
      </x:c>
      <x:c r="V103" t="str">
        <x:v>MEDIUM</x:v>
      </x:c>
      <x:c r="W103" t="str">
        <x:v>SUP-01</x:v>
      </x:c>
      <x:c r="X103" t="str">
        <x:v>Institutional catalog</x:v>
      </x:c>
      <x:c r="Y103" t="str">
        <x:v>Experiment schedule-driven reorder</x:v>
      </x:c>
      <x:c r="Z103" s="9" t="str">
        <x:v>SYNTHETIC_DEMO</x:v>
      </x:c>
    </x:row>
    <x:row r="104">
      <x:c r="A104" t="str">
        <x:v>SIM-UA-0103</x:v>
      </x:c>
      <x:c r="B104" t="str">
        <x:v>IMCD kidney-on-a-chip</x:v>
      </x:c>
      <x:c r="C104" t="str">
        <x:v>OOC-010</x:v>
      </x:c>
      <x:c r="D104" t="str">
        <x:v>Fetal bovine serum</x:v>
      </x:c>
      <x:c r="E104" t="str">
        <x:v>500 mL, cell culture grade</x:v>
      </x:c>
      <x:c r="F104" t="str">
        <x:v>Cell culture</x:v>
      </x:c>
      <x:c r="G104" t="str">
        <x:v>SUP-02</x:v>
      </x:c>
      <x:c r="H104" t="str">
        <x:v>Desert BioReagents</x:v>
      </x:c>
      <x:c r="I104" s="28" t="n">
        <x:v>45737</x:v>
      </x:c>
      <x:c r="J104" s="28" t="n">
        <x:v>45742</x:v>
      </x:c>
      <x:c r="K104" s="28" t="n">
        <x:v>45742</x:v>
      </x:c>
      <x:c r="L104" s="32" t="n">
        <x:v>1</x:v>
      </x:c>
      <x:c r="M104" t="str">
        <x:v>bottle</x:v>
      </x:c>
      <x:c r="N104" s="30" t="n">
        <x:v>431.88</x:v>
      </x:c>
      <x:c r="O104" s="30" t="n">
        <x:v>22.5</x:v>
      </x:c>
      <x:c r="P104" s="30" t="n">
        <x:f>L104*N104+O104</x:f>
        <x:v>454.38</x:v>
      </x:c>
      <x:c r="Q104" s="32" t="n">
        <x:f>J104-I104</x:f>
        <x:v>5</x:v>
      </x:c>
      <x:c r="R104" s="32" t="n">
        <x:f>IF(K104="","",K104-I104)</x:f>
        <x:v>5</x:v>
      </x:c>
      <x:c r="S104" s="32" t="n">
        <x:f>IF(K104="","",MAX(0,K104-J104))</x:f>
        <x:v>0</x:v>
      </x:c>
      <x:c r="T104" t="str">
        <x:f>IF(K104="","PENDING",IF(K104&lt;=J104,"ON_TIME","LATE"))</x:f>
        <x:v>ON_TIME</x:v>
      </x:c>
      <x:c r="U104" t="str">
        <x:v>ACCEPTED</x:v>
      </x:c>
      <x:c r="V104" t="str">
        <x:v>HIGH</x:v>
      </x:c>
      <x:c r="W104" t="str">
        <x:v>SUP-01</x:v>
      </x:c>
      <x:c r="X104" t="str">
        <x:v>Vendor web</x:v>
      </x:c>
      <x:c r="Y104" t="str">
        <x:v>Routine replenishment</x:v>
      </x:c>
      <x:c r="Z104" s="9" t="str">
        <x:v>SYNTHETIC_DEMO</x:v>
      </x:c>
    </x:row>
    <x:row r="105">
      <x:c r="A105" t="str">
        <x:v>SIM-UA-0104</x:v>
      </x:c>
      <x:c r="B105" t="str">
        <x:v>Smartphone optical readout</x:v>
      </x:c>
      <x:c r="C105" t="str">
        <x:v>IMG-001</x:v>
      </x:c>
      <x:c r="D105" t="str">
        <x:v>USB ring LED module</x:v>
      </x:c>
      <x:c r="E105" t="str">
        <x:v>Adjustable white LED, USB-powered</x:v>
      </x:c>
      <x:c r="F105" t="str">
        <x:v>Optics &amp; electronics</x:v>
      </x:c>
      <x:c r="G105" t="str">
        <x:v>SUP-06</x:v>
      </x:c>
      <x:c r="H105" t="str">
        <x:v>Southwest Imaging Parts</x:v>
      </x:c>
      <x:c r="I105" s="28" t="n">
        <x:v>45739</x:v>
      </x:c>
      <x:c r="J105" s="28" t="n">
        <x:v>45749</x:v>
      </x:c>
      <x:c r="K105" s="28" t="n">
        <x:v>45749</x:v>
      </x:c>
      <x:c r="L105" s="32" t="n">
        <x:v>2</x:v>
      </x:c>
      <x:c r="M105" t="str">
        <x:v>unit</x:v>
      </x:c>
      <x:c r="N105" s="30" t="n">
        <x:v>34.17</x:v>
      </x:c>
      <x:c r="O105" s="30" t="n">
        <x:v>0</x:v>
      </x:c>
      <x:c r="P105" s="30" t="n">
        <x:f>L105*N105+O105</x:f>
        <x:v>68.34</x:v>
      </x:c>
      <x:c r="Q105" s="32" t="n">
        <x:f>J105-I105</x:f>
        <x:v>10</x:v>
      </x:c>
      <x:c r="R105" s="32" t="n">
        <x:f>IF(K105="","",K105-I105)</x:f>
        <x:v>10</x:v>
      </x:c>
      <x:c r="S105" s="32" t="n">
        <x:f>IF(K105="","",MAX(0,K105-J105))</x:f>
        <x:v>0</x:v>
      </x:c>
      <x:c r="T105" t="str">
        <x:f>IF(K105="","PENDING",IF(K105&lt;=J105,"ON_TIME","LATE"))</x:f>
        <x:v>ON_TIME</x:v>
      </x:c>
      <x:c r="U105" t="str">
        <x:v>ACCEPTED</x:v>
      </x:c>
      <x:c r="V105" t="str">
        <x:v>MEDIUM</x:v>
      </x:c>
      <x:c r="W105" t="str">
        <x:v>SUP-07</x:v>
      </x:c>
      <x:c r="X105" t="str">
        <x:v>Institutional catalog</x:v>
      </x:c>
      <x:c r="Y105" t="str"/>
      <x:c r="Z105" s="9" t="str">
        <x:v>SYNTHETIC_DEMO</x:v>
      </x:c>
    </x:row>
    <x:row r="106">
      <x:c r="A106" t="str">
        <x:v>SIM-UA-0105</x:v>
      </x:c>
      <x:c r="B106" t="str">
        <x:v>IMCD kidney-on-a-chip</x:v>
      </x:c>
      <x:c r="C106" t="str">
        <x:v>OOC-002</x:v>
      </x:c>
      <x:c r="D106" t="str">
        <x:v>Porous membrane film</x:v>
      </x:c>
      <x:c r="E106" t="str">
        <x:v>0.4 µm, microfluidic support membrane</x:v>
      </x:c>
      <x:c r="F106" t="str">
        <x:v>Chip fabrication</x:v>
      </x:c>
      <x:c r="G106" t="str">
        <x:v>SUP-01</x:v>
      </x:c>
      <x:c r="H106" t="str">
        <x:v>Sonoran Scientific Supply</x:v>
      </x:c>
      <x:c r="I106" s="28" t="n">
        <x:v>45740</x:v>
      </x:c>
      <x:c r="J106" s="28" t="n">
        <x:v>45746</x:v>
      </x:c>
      <x:c r="K106" s="28" t="n">
        <x:v>45748</x:v>
      </x:c>
      <x:c r="L106" s="32" t="n">
        <x:v>1</x:v>
      </x:c>
      <x:c r="M106" t="str">
        <x:v>pack</x:v>
      </x:c>
      <x:c r="N106" s="30" t="n">
        <x:v>188.64</x:v>
      </x:c>
      <x:c r="O106" s="30" t="n">
        <x:v>15</x:v>
      </x:c>
      <x:c r="P106" s="30" t="n">
        <x:f>L106*N106+O106</x:f>
        <x:v>203.64</x:v>
      </x:c>
      <x:c r="Q106" s="32" t="n">
        <x:f>J106-I106</x:f>
        <x:v>6</x:v>
      </x:c>
      <x:c r="R106" s="32" t="n">
        <x:f>IF(K106="","",K106-I106)</x:f>
        <x:v>8</x:v>
      </x:c>
      <x:c r="S106" s="32" t="n">
        <x:f>IF(K106="","",MAX(0,K106-J106))</x:f>
        <x:v>2</x:v>
      </x:c>
      <x:c r="T106" t="str">
        <x:f>IF(K106="","PENDING",IF(K106&lt;=J106,"ON_TIME","LATE"))</x:f>
        <x:v>LATE</x:v>
      </x:c>
      <x:c r="U106" t="str">
        <x:v>ACCEPTED</x:v>
      </x:c>
      <x:c r="V106" t="str">
        <x:v>HIGH</x:v>
      </x:c>
      <x:c r="W106" t="str">
        <x:v>SUP-04</x:v>
      </x:c>
      <x:c r="X106" t="str">
        <x:v>Vendor web</x:v>
      </x:c>
      <x:c r="Y106" t="str">
        <x:v>Routine replenishment</x:v>
      </x:c>
      <x:c r="Z106" s="9" t="str">
        <x:v>SYNTHETIC_DEMO</x:v>
      </x:c>
    </x:row>
    <x:row r="107">
      <x:c r="A107" t="str">
        <x:v>SIM-UA-0106</x:v>
      </x:c>
      <x:c r="B107" t="str">
        <x:v>IMCD kidney-on-a-chip</x:v>
      </x:c>
      <x:c r="C107" t="str">
        <x:v>OOC-005</x:v>
      </x:c>
      <x:c r="D107" t="str">
        <x:v>Silicone microbore tubing</x:v>
      </x:c>
      <x:c r="E107" t="str">
        <x:v>1/16 in ID, 10 m</x:v>
      </x:c>
      <x:c r="F107" t="str">
        <x:v>Fluidics hardware</x:v>
      </x:c>
      <x:c r="G107" t="str">
        <x:v>SUP-07</x:v>
      </x:c>
      <x:c r="H107" t="str">
        <x:v>RapidLab Alternate Source</x:v>
      </x:c>
      <x:c r="I107" s="28" t="n">
        <x:v>45741</x:v>
      </x:c>
      <x:c r="J107" s="28" t="n">
        <x:v>45743</x:v>
      </x:c>
      <x:c r="K107" s="28" t="n">
        <x:v>45744</x:v>
      </x:c>
      <x:c r="L107" s="32" t="n">
        <x:v>1</x:v>
      </x:c>
      <x:c r="M107" t="str">
        <x:v>roll</x:v>
      </x:c>
      <x:c r="N107" s="30" t="n">
        <x:v>119.05</x:v>
      </x:c>
      <x:c r="O107" s="30" t="n">
        <x:v>15</x:v>
      </x:c>
      <x:c r="P107" s="30" t="n">
        <x:f>L107*N107+O107</x:f>
        <x:v>134.05</x:v>
      </x:c>
      <x:c r="Q107" s="32" t="n">
        <x:f>J107-I107</x:f>
        <x:v>2</x:v>
      </x:c>
      <x:c r="R107" s="32" t="n">
        <x:f>IF(K107="","",K107-I107)</x:f>
        <x:v>3</x:v>
      </x:c>
      <x:c r="S107" s="32" t="n">
        <x:f>IF(K107="","",MAX(0,K107-J107))</x:f>
        <x:v>1</x:v>
      </x:c>
      <x:c r="T107" t="str">
        <x:f>IF(K107="","PENDING",IF(K107&lt;=J107,"ON_TIME","LATE"))</x:f>
        <x:v>LATE</x:v>
      </x:c>
      <x:c r="U107" t="str">
        <x:v>ACCEPTED</x:v>
      </x:c>
      <x:c r="V107" t="str">
        <x:v>HIGH</x:v>
      </x:c>
      <x:c r="W107" t="str">
        <x:v>SUP-05</x:v>
      </x:c>
      <x:c r="X107" t="str">
        <x:v>Institutional catalog</x:v>
      </x:c>
      <x:c r="Y107" t="str">
        <x:v>Prototype iteration demand</x:v>
      </x:c>
      <x:c r="Z107" s="9" t="str">
        <x:v>SYNTHETIC_DEMO</x:v>
      </x:c>
    </x:row>
    <x:row r="108">
      <x:c r="A108" t="str">
        <x:v>SIM-UA-0107</x:v>
      </x:c>
      <x:c r="B108" t="str">
        <x:v>IMCD kidney-on-a-chip</x:v>
      </x:c>
      <x:c r="C108" t="str">
        <x:v>OOC-008</x:v>
      </x:c>
      <x:c r="D108" t="str">
        <x:v>Flow restrictors and valves</x:v>
      </x:c>
      <x:c r="E108" t="str">
        <x:v>Small-bore fluidic assortment</x:v>
      </x:c>
      <x:c r="F108" t="str">
        <x:v>Fluidics hardware</x:v>
      </x:c>
      <x:c r="G108" t="str">
        <x:v>SUP-05</x:v>
      </x:c>
      <x:c r="H108" t="str">
        <x:v>Tucson Fluidics Components</x:v>
      </x:c>
      <x:c r="I108" s="28" t="n">
        <x:v>45741</x:v>
      </x:c>
      <x:c r="J108" s="28" t="n">
        <x:v>45746</x:v>
      </x:c>
      <x:c r="K108" s="28" t="n">
        <x:v>45746</x:v>
      </x:c>
      <x:c r="L108" s="32" t="n">
        <x:v>1</x:v>
      </x:c>
      <x:c r="M108" t="str">
        <x:v>set</x:v>
      </x:c>
      <x:c r="N108" s="30" t="n">
        <x:v>136.69</x:v>
      </x:c>
      <x:c r="O108" s="30" t="n">
        <x:v>8.5</x:v>
      </x:c>
      <x:c r="P108" s="30" t="n">
        <x:f>L108*N108+O108</x:f>
        <x:v>145.19</x:v>
      </x:c>
      <x:c r="Q108" s="32" t="n">
        <x:f>J108-I108</x:f>
        <x:v>5</x:v>
      </x:c>
      <x:c r="R108" s="32" t="n">
        <x:f>IF(K108="","",K108-I108)</x:f>
        <x:v>5</x:v>
      </x:c>
      <x:c r="S108" s="32" t="n">
        <x:f>IF(K108="","",MAX(0,K108-J108))</x:f>
        <x:v>0</x:v>
      </x:c>
      <x:c r="T108" t="str">
        <x:f>IF(K108="","PENDING",IF(K108&lt;=J108,"ON_TIME","LATE"))</x:f>
        <x:v>ON_TIME</x:v>
      </x:c>
      <x:c r="U108" t="str">
        <x:v>ACCEPTED</x:v>
      </x:c>
      <x:c r="V108" t="str">
        <x:v>HIGH</x:v>
      </x:c>
      <x:c r="W108" t="str">
        <x:v>SUP-04</x:v>
      </x:c>
      <x:c r="X108" t="str">
        <x:v>Vendor web</x:v>
      </x:c>
      <x:c r="Y108" t="str">
        <x:v>Prototype iteration demand</x:v>
      </x:c>
      <x:c r="Z108" s="9" t="str">
        <x:v>SYNTHETIC_DEMO</x:v>
      </x:c>
    </x:row>
    <x:row r="109">
      <x:c r="A109" t="str">
        <x:v>SIM-UA-0108</x:v>
      </x:c>
      <x:c r="B109" t="str">
        <x:v>IMCD kidney-on-a-chip</x:v>
      </x:c>
      <x:c r="C109" t="str">
        <x:v>OOC-012</x:v>
      </x:c>
      <x:c r="D109" t="str">
        <x:v>Trypsin-EDTA</x:v>
      </x:c>
      <x:c r="E109" t="str">
        <x:v>100 mL, cell dissociation</x:v>
      </x:c>
      <x:c r="F109" t="str">
        <x:v>Cell culture</x:v>
      </x:c>
      <x:c r="G109" t="str">
        <x:v>SUP-02</x:v>
      </x:c>
      <x:c r="H109" t="str">
        <x:v>Desert BioReagents</x:v>
      </x:c>
      <x:c r="I109" s="28" t="n">
        <x:v>45741</x:v>
      </x:c>
      <x:c r="J109" s="28" t="n">
        <x:v>45747</x:v>
      </x:c>
      <x:c r="K109" s="28" t="n">
        <x:v>45747</x:v>
      </x:c>
      <x:c r="L109" s="32" t="n">
        <x:v>1</x:v>
      </x:c>
      <x:c r="M109" t="str">
        <x:v>bottle</x:v>
      </x:c>
      <x:c r="N109" s="30" t="n">
        <x:v>36.56</x:v>
      </x:c>
      <x:c r="O109" s="30" t="n">
        <x:v>18</x:v>
      </x:c>
      <x:c r="P109" s="30" t="n">
        <x:f>L109*N109+O109</x:f>
        <x:v>54.56</x:v>
      </x:c>
      <x:c r="Q109" s="32" t="n">
        <x:f>J109-I109</x:f>
        <x:v>6</x:v>
      </x:c>
      <x:c r="R109" s="32" t="n">
        <x:f>IF(K109="","",K109-I109)</x:f>
        <x:v>6</x:v>
      </x:c>
      <x:c r="S109" s="32" t="n">
        <x:f>IF(K109="","",MAX(0,K109-J109))</x:f>
        <x:v>0</x:v>
      </x:c>
      <x:c r="T109" t="str">
        <x:f>IF(K109="","PENDING",IF(K109&lt;=J109,"ON_TIME","LATE"))</x:f>
        <x:v>ON_TIME</x:v>
      </x:c>
      <x:c r="U109" t="str">
        <x:v>ACCEPTED</x:v>
      </x:c>
      <x:c r="V109" t="str">
        <x:v>MEDIUM</x:v>
      </x:c>
      <x:c r="W109" t="str">
        <x:v>SUP-01</x:v>
      </x:c>
      <x:c r="X109" t="str">
        <x:v>Quote-to-PO</x:v>
      </x:c>
      <x:c r="Y109" t="str">
        <x:v>Prototype iteration demand</x:v>
      </x:c>
      <x:c r="Z109" s="9" t="str">
        <x:v>SYNTHETIC_DEMO</x:v>
      </x:c>
    </x:row>
    <x:row r="110">
      <x:c r="A110" t="str">
        <x:v>SIM-UA-0109</x:v>
      </x:c>
      <x:c r="B110" t="str">
        <x:v>IMCD kidney-on-a-chip</x:v>
      </x:c>
      <x:c r="C110" t="str">
        <x:v>OOC-003</x:v>
      </x:c>
      <x:c r="D110" t="str">
        <x:v>Microscope glass slides</x:v>
      </x:c>
      <x:c r="E110" t="str">
        <x:v>75 × 25 mm, 72/box</x:v>
      </x:c>
      <x:c r="F110" t="str">
        <x:v>Chip fabrication</x:v>
      </x:c>
      <x:c r="G110" t="str">
        <x:v>SUP-01</x:v>
      </x:c>
      <x:c r="H110" t="str">
        <x:v>Sonoran Scientific Supply</x:v>
      </x:c>
      <x:c r="I110" s="28" t="n">
        <x:v>45744</x:v>
      </x:c>
      <x:c r="J110" s="28" t="n">
        <x:v>45750</x:v>
      </x:c>
      <x:c r="K110" s="28" t="n">
        <x:v>45749</x:v>
      </x:c>
      <x:c r="L110" s="32" t="n">
        <x:v>1</x:v>
      </x:c>
      <x:c r="M110" t="str">
        <x:v>box</x:v>
      </x:c>
      <x:c r="N110" s="30" t="n">
        <x:v>32.86</x:v>
      </x:c>
      <x:c r="O110" s="30" t="n">
        <x:v>15</x:v>
      </x:c>
      <x:c r="P110" s="30" t="n">
        <x:f>L110*N110+O110</x:f>
        <x:v>47.86</x:v>
      </x:c>
      <x:c r="Q110" s="32" t="n">
        <x:f>J110-I110</x:f>
        <x:v>6</x:v>
      </x:c>
      <x:c r="R110" s="32" t="n">
        <x:f>IF(K110="","",K110-I110)</x:f>
        <x:v>5</x:v>
      </x:c>
      <x:c r="S110" s="32" t="n">
        <x:f>IF(K110="","",MAX(0,K110-J110))</x:f>
        <x:v>0</x:v>
      </x:c>
      <x:c r="T110" t="str">
        <x:f>IF(K110="","PENDING",IF(K110&lt;=J110,"ON_TIME","LATE"))</x:f>
        <x:v>ON_TIME</x:v>
      </x:c>
      <x:c r="U110" t="str">
        <x:v>ACCEPTED</x:v>
      </x:c>
      <x:c r="V110" t="str">
        <x:v>MEDIUM</x:v>
      </x:c>
      <x:c r="W110" t="str">
        <x:v>SUP-04</x:v>
      </x:c>
      <x:c r="X110" t="str">
        <x:v>Quote-to-PO</x:v>
      </x:c>
      <x:c r="Y110" t="str">
        <x:v>Prototype iteration demand</x:v>
      </x:c>
      <x:c r="Z110" s="9" t="str">
        <x:v>SYNTHETIC_DEMO</x:v>
      </x:c>
    </x:row>
    <x:row r="111">
      <x:c r="A111" t="str">
        <x:v>SIM-UA-0110</x:v>
      </x:c>
      <x:c r="B111" t="str">
        <x:v>Smartphone optical readout</x:v>
      </x:c>
      <x:c r="C111" t="str">
        <x:v>IMG-004</x:v>
      </x:c>
      <x:c r="D111" t="str">
        <x:v>Diffuser film</x:v>
      </x:c>
      <x:c r="E111" t="str">
        <x:v>Optical diffusion sheets, 10/pack</x:v>
      </x:c>
      <x:c r="F111" t="str">
        <x:v>Optics &amp; electronics</x:v>
      </x:c>
      <x:c r="G111" t="str">
        <x:v>SUP-07</x:v>
      </x:c>
      <x:c r="H111" t="str">
        <x:v>RapidLab Alternate Source</x:v>
      </x:c>
      <x:c r="I111" s="28" t="n">
        <x:v>45745</x:v>
      </x:c>
      <x:c r="J111" s="28" t="n">
        <x:v>45747</x:v>
      </x:c>
      <x:c r="K111" s="28" t="n">
        <x:v>45746</x:v>
      </x:c>
      <x:c r="L111" s="32" t="n">
        <x:v>1</x:v>
      </x:c>
      <x:c r="M111" t="str">
        <x:v>pack</x:v>
      </x:c>
      <x:c r="N111" s="30" t="n">
        <x:v>46.66</x:v>
      </x:c>
      <x:c r="O111" s="30" t="n">
        <x:v>18</x:v>
      </x:c>
      <x:c r="P111" s="30" t="n">
        <x:f>L111*N111+O111</x:f>
        <x:v>64.66</x:v>
      </x:c>
      <x:c r="Q111" s="32" t="n">
        <x:f>J111-I111</x:f>
        <x:v>2</x:v>
      </x:c>
      <x:c r="R111" s="32" t="n">
        <x:f>IF(K111="","",K111-I111)</x:f>
        <x:v>1</x:v>
      </x:c>
      <x:c r="S111" s="32" t="n">
        <x:f>IF(K111="","",MAX(0,K111-J111))</x:f>
        <x:v>0</x:v>
      </x:c>
      <x:c r="T111" t="str">
        <x:f>IF(K111="","PENDING",IF(K111&lt;=J111,"ON_TIME","LATE"))</x:f>
        <x:v>ON_TIME</x:v>
      </x:c>
      <x:c r="U111" t="str">
        <x:v>ACCEPTED</x:v>
      </x:c>
      <x:c r="V111" t="str">
        <x:v>LOW</x:v>
      </x:c>
      <x:c r="W111" t="str">
        <x:v>SUP-06</x:v>
      </x:c>
      <x:c r="X111" t="str">
        <x:v>Vendor web</x:v>
      </x:c>
      <x:c r="Y111" t="str">
        <x:v>Routine replenishment</x:v>
      </x:c>
      <x:c r="Z111" s="9" t="str">
        <x:v>SYNTHETIC_DEMO</x:v>
      </x:c>
    </x:row>
    <x:row r="112">
      <x:c r="A112" t="str">
        <x:v>SIM-UA-0111</x:v>
      </x:c>
      <x:c r="B112" t="str">
        <x:v>Smartphone optical readout</x:v>
      </x:c>
      <x:c r="C112" t="str">
        <x:v>IMG-007</x:v>
      </x:c>
      <x:c r="D112" t="str">
        <x:v>Acrylic laser-cut frame</x:v>
      </x:c>
      <x:c r="E112" t="str">
        <x:v>Custom microfluidic imaging frame</x:v>
      </x:c>
      <x:c r="F112" t="str">
        <x:v>Prototype hardware</x:v>
      </x:c>
      <x:c r="G112" t="str">
        <x:v>SUP-08</x:v>
      </x:c>
      <x:c r="H112" t="str">
        <x:v>Precision Prototype Services</x:v>
      </x:c>
      <x:c r="I112" s="28" t="n">
        <x:v>45747</x:v>
      </x:c>
      <x:c r="J112" s="28" t="n">
        <x:v>45761</x:v>
      </x:c>
      <x:c r="K112" s="28" t="n">
        <x:v>45761</x:v>
      </x:c>
      <x:c r="L112" s="32" t="n">
        <x:v>1</x:v>
      </x:c>
      <x:c r="M112" t="str">
        <x:v>batch</x:v>
      </x:c>
      <x:c r="N112" s="30" t="n">
        <x:v>119.05</x:v>
      </x:c>
      <x:c r="O112" s="30" t="n">
        <x:v>22.5</x:v>
      </x:c>
      <x:c r="P112" s="30" t="n">
        <x:f>L112*N112+O112</x:f>
        <x:v>141.55</x:v>
      </x:c>
      <x:c r="Q112" s="32" t="n">
        <x:f>J112-I112</x:f>
        <x:v>14</x:v>
      </x:c>
      <x:c r="R112" s="32" t="n">
        <x:f>IF(K112="","",K112-I112)</x:f>
        <x:v>14</x:v>
      </x:c>
      <x:c r="S112" s="32" t="n">
        <x:f>IF(K112="","",MAX(0,K112-J112))</x:f>
        <x:v>0</x:v>
      </x:c>
      <x:c r="T112" t="str">
        <x:f>IF(K112="","PENDING",IF(K112&lt;=J112,"ON_TIME","LATE"))</x:f>
        <x:v>ON_TIME</x:v>
      </x:c>
      <x:c r="U112" t="str">
        <x:v>ACCEPTED</x:v>
      </x:c>
      <x:c r="V112" t="str">
        <x:v>MEDIUM</x:v>
      </x:c>
      <x:c r="W112" t="str">
        <x:v>SUP-04</x:v>
      </x:c>
      <x:c r="X112" t="str">
        <x:v>Quote-to-PO</x:v>
      </x:c>
      <x:c r="Y112" t="str">
        <x:v>Prototype iteration demand</x:v>
      </x:c>
      <x:c r="Z112" s="9" t="str">
        <x:v>SYNTHETIC_DEMO</x:v>
      </x:c>
    </x:row>
    <x:row r="113">
      <x:c r="A113" t="str">
        <x:v>SIM-UA-0112</x:v>
      </x:c>
      <x:c r="B113" t="str">
        <x:v>Paper microfluidics (SALSA)</x:v>
      </x:c>
      <x:c r="C113" t="str">
        <x:v>PAP-012</x:v>
      </x:c>
      <x:c r="D113" t="str">
        <x:v>Filter pipette tips</x:v>
      </x:c>
      <x:c r="E113" t="str">
        <x:v>200 µL, sterile, 960/pack</x:v>
      </x:c>
      <x:c r="F113" t="str">
        <x:v>Assay reagents</x:v>
      </x:c>
      <x:c r="G113" t="str">
        <x:v>SUP-01</x:v>
      </x:c>
      <x:c r="H113" t="str">
        <x:v>Sonoran Scientific Supply</x:v>
      </x:c>
      <x:c r="I113" s="28" t="n">
        <x:v>45748</x:v>
      </x:c>
      <x:c r="J113" s="28" t="n">
        <x:v>45753</x:v>
      </x:c>
      <x:c r="K113" s="28" t="n">
        <x:v>45752</x:v>
      </x:c>
      <x:c r="L113" s="32" t="n">
        <x:v>2</x:v>
      </x:c>
      <x:c r="M113" t="str">
        <x:v>pack</x:v>
      </x:c>
      <x:c r="N113" s="30" t="n">
        <x:v>86.39</x:v>
      </x:c>
      <x:c r="O113" s="30" t="n">
        <x:v>15</x:v>
      </x:c>
      <x:c r="P113" s="30" t="n">
        <x:f>L113*N113+O113</x:f>
        <x:v>187.78</x:v>
      </x:c>
      <x:c r="Q113" s="32" t="n">
        <x:f>J113-I113</x:f>
        <x:v>5</x:v>
      </x:c>
      <x:c r="R113" s="32" t="n">
        <x:f>IF(K113="","",K113-I113)</x:f>
        <x:v>4</x:v>
      </x:c>
      <x:c r="S113" s="32" t="n">
        <x:f>IF(K113="","",MAX(0,K113-J113))</x:f>
        <x:v>0</x:v>
      </x:c>
      <x:c r="T113" t="str">
        <x:f>IF(K113="","PENDING",IF(K113&lt;=J113,"ON_TIME","LATE"))</x:f>
        <x:v>ON_TIME</x:v>
      </x:c>
      <x:c r="U113" t="str">
        <x:v>ACCEPTED</x:v>
      </x:c>
      <x:c r="V113" t="str">
        <x:v>MEDIUM</x:v>
      </x:c>
      <x:c r="W113" t="str">
        <x:v>SUP-02</x:v>
      </x:c>
      <x:c r="X113" t="str">
        <x:v>Institutional catalog</x:v>
      </x:c>
      <x:c r="Y113" t="str">
        <x:v>Routine replenishment</x:v>
      </x:c>
      <x:c r="Z113" s="9" t="str">
        <x:v>SYNTHETIC_DEMO</x:v>
      </x:c>
    </x:row>
    <x:row r="114">
      <x:c r="A114" t="str">
        <x:v>SIM-UA-0113</x:v>
      </x:c>
      <x:c r="B114" t="str">
        <x:v>IMCD kidney-on-a-chip</x:v>
      </x:c>
      <x:c r="C114" t="str">
        <x:v>OOC-003</x:v>
      </x:c>
      <x:c r="D114" t="str">
        <x:v>Microscope glass slides</x:v>
      </x:c>
      <x:c r="E114" t="str">
        <x:v>75 × 25 mm, 72/box</x:v>
      </x:c>
      <x:c r="F114" t="str">
        <x:v>Chip fabrication</x:v>
      </x:c>
      <x:c r="G114" t="str">
        <x:v>SUP-01</x:v>
      </x:c>
      <x:c r="H114" t="str">
        <x:v>Sonoran Scientific Supply</x:v>
      </x:c>
      <x:c r="I114" s="28" t="n">
        <x:v>45750</x:v>
      </x:c>
      <x:c r="J114" s="28" t="n">
        <x:v>45759</x:v>
      </x:c>
      <x:c r="K114" s="28" t="n">
        <x:v>45759</x:v>
      </x:c>
      <x:c r="L114" s="32" t="n">
        <x:v>1</x:v>
      </x:c>
      <x:c r="M114" t="str">
        <x:v>box</x:v>
      </x:c>
      <x:c r="N114" s="30" t="n">
        <x:v>33.1</x:v>
      </x:c>
      <x:c r="O114" s="30" t="n">
        <x:v>12</x:v>
      </x:c>
      <x:c r="P114" s="30" t="n">
        <x:f>L114*N114+O114</x:f>
        <x:v>45.1</x:v>
      </x:c>
      <x:c r="Q114" s="32" t="n">
        <x:f>J114-I114</x:f>
        <x:v>9</x:v>
      </x:c>
      <x:c r="R114" s="32" t="n">
        <x:f>IF(K114="","",K114-I114)</x:f>
        <x:v>9</x:v>
      </x:c>
      <x:c r="S114" s="32" t="n">
        <x:f>IF(K114="","",MAX(0,K114-J114))</x:f>
        <x:v>0</x:v>
      </x:c>
      <x:c r="T114" t="str">
        <x:f>IF(K114="","PENDING",IF(K114&lt;=J114,"ON_TIME","LATE"))</x:f>
        <x:v>ON_TIME</x:v>
      </x:c>
      <x:c r="U114" t="str">
        <x:v>ACCEPTED</x:v>
      </x:c>
      <x:c r="V114" t="str">
        <x:v>MEDIUM</x:v>
      </x:c>
      <x:c r="W114" t="str">
        <x:v>SUP-04</x:v>
      </x:c>
      <x:c r="X114" t="str">
        <x:v>Quote-to-PO</x:v>
      </x:c>
      <x:c r="Y114" t="str">
        <x:v>Routine replenishment</x:v>
      </x:c>
      <x:c r="Z114" s="9" t="str">
        <x:v>SYNTHETIC_DEMO</x:v>
      </x:c>
    </x:row>
    <x:row r="115">
      <x:c r="A115" t="str">
        <x:v>SIM-UA-0114</x:v>
      </x:c>
      <x:c r="B115" t="str">
        <x:v>Paper microfluidics (SALSA)</x:v>
      </x:c>
      <x:c r="C115" t="str">
        <x:v>PAP-006</x:v>
      </x:c>
      <x:c r="D115" t="str">
        <x:v>Double-sided adhesive film</x:v>
      </x:c>
      <x:c r="E115" t="str">
        <x:v>Medical/optical grade, 50 sheets</x:v>
      </x:c>
      <x:c r="F115" t="str">
        <x:v>Paper &amp; membrane</x:v>
      </x:c>
      <x:c r="G115" t="str">
        <x:v>SUP-03</x:v>
      </x:c>
      <x:c r="H115" t="str">
        <x:v>Catalina Paper &amp; Membrane</x:v>
      </x:c>
      <x:c r="I115" s="28" t="n">
        <x:v>45751</x:v>
      </x:c>
      <x:c r="J115" s="28" t="n">
        <x:v>45759</x:v>
      </x:c>
      <x:c r="K115" s="28" t="n">
        <x:v>45759</x:v>
      </x:c>
      <x:c r="L115" s="32" t="n">
        <x:v>1</x:v>
      </x:c>
      <x:c r="M115" t="str">
        <x:v>pack</x:v>
      </x:c>
      <x:c r="N115" s="30" t="n">
        <x:v>102.07</x:v>
      </x:c>
      <x:c r="O115" s="30" t="n">
        <x:v>22.5</x:v>
      </x:c>
      <x:c r="P115" s="30" t="n">
        <x:f>L115*N115+O115</x:f>
        <x:v>124.57</x:v>
      </x:c>
      <x:c r="Q115" s="32" t="n">
        <x:f>J115-I115</x:f>
        <x:v>8</x:v>
      </x:c>
      <x:c r="R115" s="32" t="n">
        <x:f>IF(K115="","",K115-I115)</x:f>
        <x:v>8</x:v>
      </x:c>
      <x:c r="S115" s="32" t="n">
        <x:f>IF(K115="","",MAX(0,K115-J115))</x:f>
        <x:v>0</x:v>
      </x:c>
      <x:c r="T115" t="str">
        <x:f>IF(K115="","PENDING",IF(K115&lt;=J115,"ON_TIME","LATE"))</x:f>
        <x:v>ON_TIME</x:v>
      </x:c>
      <x:c r="U115" t="str">
        <x:v>ACCEPTED</x:v>
      </x:c>
      <x:c r="V115" t="str">
        <x:v>MEDIUM</x:v>
      </x:c>
      <x:c r="W115" t="str">
        <x:v>SUP-04</x:v>
      </x:c>
      <x:c r="X115" t="str">
        <x:v>Vendor web</x:v>
      </x:c>
      <x:c r="Y115" t="str">
        <x:v>Experiment schedule-driven reorder</x:v>
      </x:c>
      <x:c r="Z115" s="9" t="str">
        <x:v>SYNTHETIC_DEMO</x:v>
      </x:c>
    </x:row>
    <x:row r="116">
      <x:c r="A116" t="str">
        <x:v>SIM-UA-0115</x:v>
      </x:c>
      <x:c r="B116" t="str">
        <x:v>IMCD kidney-on-a-chip</x:v>
      </x:c>
      <x:c r="C116" t="str">
        <x:v>OOC-006</x:v>
      </x:c>
      <x:c r="D116" t="str">
        <x:v>Luer-lock connectors</x:v>
      </x:c>
      <x:c r="E116" t="str">
        <x:v>Male/female assorted, 25/pack</x:v>
      </x:c>
      <x:c r="F116" t="str">
        <x:v>Fluidics hardware</x:v>
      </x:c>
      <x:c r="G116" t="str">
        <x:v>SUP-05</x:v>
      </x:c>
      <x:c r="H116" t="str">
        <x:v>Tucson Fluidics Components</x:v>
      </x:c>
      <x:c r="I116" s="28" t="n">
        <x:v>45751</x:v>
      </x:c>
      <x:c r="J116" s="28" t="n">
        <x:v>45758</x:v>
      </x:c>
      <x:c r="K116" s="28" t="n">
        <x:v>45771</x:v>
      </x:c>
      <x:c r="L116" s="32" t="n">
        <x:v>1</x:v>
      </x:c>
      <x:c r="M116" t="str">
        <x:v>pack</x:v>
      </x:c>
      <x:c r="N116" s="30" t="n">
        <x:v>63.1</x:v>
      </x:c>
      <x:c r="O116" s="30" t="n">
        <x:v>0</x:v>
      </x:c>
      <x:c r="P116" s="30" t="n">
        <x:f>L116*N116+O116</x:f>
        <x:v>63.1</x:v>
      </x:c>
      <x:c r="Q116" s="32" t="n">
        <x:f>J116-I116</x:f>
        <x:v>7</x:v>
      </x:c>
      <x:c r="R116" s="32" t="n">
        <x:f>IF(K116="","",K116-I116)</x:f>
        <x:v>20</x:v>
      </x:c>
      <x:c r="S116" s="32" t="n">
        <x:f>IF(K116="","",MAX(0,K116-J116))</x:f>
        <x:v>13</x:v>
      </x:c>
      <x:c r="T116" t="str">
        <x:f>IF(K116="","PENDING",IF(K116&lt;=J116,"ON_TIME","LATE"))</x:f>
        <x:v>LATE</x:v>
      </x:c>
      <x:c r="U116" t="str">
        <x:v>ACCEPTED</x:v>
      </x:c>
      <x:c r="V116" t="str">
        <x:v>HIGH</x:v>
      </x:c>
      <x:c r="W116" t="str">
        <x:v>SUP-07</x:v>
      </x:c>
      <x:c r="X116" t="str">
        <x:v>Vendor web</x:v>
      </x:c>
      <x:c r="Y116" t="str">
        <x:v>Illustrative backorder/long lead-time case; supplier capacity unverified</x:v>
      </x:c>
      <x:c r="Z116" s="9" t="str">
        <x:v>SYNTHETIC_DEMO</x:v>
      </x:c>
    </x:row>
    <x:row r="117">
      <x:c r="A117" t="str">
        <x:v>SIM-UA-0116</x:v>
      </x:c>
      <x:c r="B117" t="str">
        <x:v>Paper microfluidics (SALSA)</x:v>
      </x:c>
      <x:c r="C117" t="str">
        <x:v>PAP-008</x:v>
      </x:c>
      <x:c r="D117" t="str">
        <x:v>Bovine serum albumin</x:v>
      </x:c>
      <x:c r="E117" t="str">
        <x:v>BSA, 100 g, analytical grade</x:v>
      </x:c>
      <x:c r="F117" t="str">
        <x:v>Assay reagents</x:v>
      </x:c>
      <x:c r="G117" t="str">
        <x:v>SUP-02</x:v>
      </x:c>
      <x:c r="H117" t="str">
        <x:v>Desert BioReagents</x:v>
      </x:c>
      <x:c r="I117" s="28" t="n">
        <x:v>45752</x:v>
      </x:c>
      <x:c r="J117" s="28" t="n">
        <x:v>45758</x:v>
      </x:c>
      <x:c r="K117" s="28" t="n">
        <x:v>45757</x:v>
      </x:c>
      <x:c r="L117" s="32" t="n">
        <x:v>1</x:v>
      </x:c>
      <x:c r="M117" t="str">
        <x:v>bottle</x:v>
      </x:c>
      <x:c r="N117" s="30" t="n">
        <x:v>138.8</x:v>
      </x:c>
      <x:c r="O117" s="30" t="n">
        <x:v>22.5</x:v>
      </x:c>
      <x:c r="P117" s="30" t="n">
        <x:f>L117*N117+O117</x:f>
        <x:v>161.3</x:v>
      </x:c>
      <x:c r="Q117" s="32" t="n">
        <x:f>J117-I117</x:f>
        <x:v>6</x:v>
      </x:c>
      <x:c r="R117" s="32" t="n">
        <x:f>IF(K117="","",K117-I117)</x:f>
        <x:v>5</x:v>
      </x:c>
      <x:c r="S117" s="32" t="n">
        <x:f>IF(K117="","",MAX(0,K117-J117))</x:f>
        <x:v>0</x:v>
      </x:c>
      <x:c r="T117" t="str">
        <x:f>IF(K117="","PENDING",IF(K117&lt;=J117,"ON_TIME","LATE"))</x:f>
        <x:v>ON_TIME</x:v>
      </x:c>
      <x:c r="U117" t="str">
        <x:v>ACCEPTED</x:v>
      </x:c>
      <x:c r="V117" t="str">
        <x:v>MEDIUM</x:v>
      </x:c>
      <x:c r="W117" t="str">
        <x:v>SUP-01</x:v>
      </x:c>
      <x:c r="X117" t="str">
        <x:v>Institutional catalog</x:v>
      </x:c>
      <x:c r="Y117" t="str">
        <x:v>Experiment schedule-driven reorder</x:v>
      </x:c>
      <x:c r="Z117" s="9" t="str">
        <x:v>SYNTHETIC_DEMO</x:v>
      </x:c>
    </x:row>
    <x:row r="118">
      <x:c r="A118" t="str">
        <x:v>SIM-UA-0117</x:v>
      </x:c>
      <x:c r="B118" t="str">
        <x:v>IMCD kidney-on-a-chip</x:v>
      </x:c>
      <x:c r="C118" t="str">
        <x:v>OOC-010</x:v>
      </x:c>
      <x:c r="D118" t="str">
        <x:v>Fetal bovine serum</x:v>
      </x:c>
      <x:c r="E118" t="str">
        <x:v>500 mL, cell culture grade</x:v>
      </x:c>
      <x:c r="F118" t="str">
        <x:v>Cell culture</x:v>
      </x:c>
      <x:c r="G118" t="str">
        <x:v>SUP-02</x:v>
      </x:c>
      <x:c r="H118" t="str">
        <x:v>Desert BioReagents</x:v>
      </x:c>
      <x:c r="I118" s="28" t="n">
        <x:v>45753</x:v>
      </x:c>
      <x:c r="J118" s="28" t="n">
        <x:v>45756</x:v>
      </x:c>
      <x:c r="K118" s="28" t="n">
        <x:v>45756</x:v>
      </x:c>
      <x:c r="L118" s="32" t="n">
        <x:v>1</x:v>
      </x:c>
      <x:c r="M118" t="str">
        <x:v>bottle</x:v>
      </x:c>
      <x:c r="N118" s="30" t="n">
        <x:v>437.84</x:v>
      </x:c>
      <x:c r="O118" s="30" t="n">
        <x:v>15</x:v>
      </x:c>
      <x:c r="P118" s="30" t="n">
        <x:f>L118*N118+O118</x:f>
        <x:v>452.84</x:v>
      </x:c>
      <x:c r="Q118" s="32" t="n">
        <x:f>J118-I118</x:f>
        <x:v>3</x:v>
      </x:c>
      <x:c r="R118" s="32" t="n">
        <x:f>IF(K118="","",K118-I118)</x:f>
        <x:v>3</x:v>
      </x:c>
      <x:c r="S118" s="32" t="n">
        <x:f>IF(K118="","",MAX(0,K118-J118))</x:f>
        <x:v>0</x:v>
      </x:c>
      <x:c r="T118" t="str">
        <x:f>IF(K118="","PENDING",IF(K118&lt;=J118,"ON_TIME","LATE"))</x:f>
        <x:v>ON_TIME</x:v>
      </x:c>
      <x:c r="U118" t="str">
        <x:v>ACCEPTED</x:v>
      </x:c>
      <x:c r="V118" t="str">
        <x:v>HIGH</x:v>
      </x:c>
      <x:c r="W118" t="str">
        <x:v>SUP-01</x:v>
      </x:c>
      <x:c r="X118" t="str">
        <x:v>Quote-to-PO</x:v>
      </x:c>
      <x:c r="Y118" t="str"/>
      <x:c r="Z118" s="9" t="str">
        <x:v>SYNTHETIC_DEMO</x:v>
      </x:c>
    </x:row>
    <x:row r="119">
      <x:c r="A119" t="str">
        <x:v>SIM-UA-0118</x:v>
      </x:c>
      <x:c r="B119" t="str">
        <x:v>IMCD kidney-on-a-chip</x:v>
      </x:c>
      <x:c r="C119" t="str">
        <x:v>OOC-016</x:v>
      </x:c>
      <x:c r="D119" t="str">
        <x:v>Nitrile laboratory gloves</x:v>
      </x:c>
      <x:c r="E119" t="str">
        <x:v>Size M, powder-free, 100/box</x:v>
      </x:c>
      <x:c r="F119" t="str">
        <x:v>Cell culture</x:v>
      </x:c>
      <x:c r="G119" t="str">
        <x:v>SUP-01</x:v>
      </x:c>
      <x:c r="H119" t="str">
        <x:v>Sonoran Scientific Supply</x:v>
      </x:c>
      <x:c r="I119" s="28" t="n">
        <x:v>45753</x:v>
      </x:c>
      <x:c r="J119" s="28" t="n">
        <x:v>45762</x:v>
      </x:c>
      <x:c r="K119" s="28" t="n">
        <x:v>45761</x:v>
      </x:c>
      <x:c r="L119" s="32" t="n">
        <x:v>3</x:v>
      </x:c>
      <x:c r="M119" t="str">
        <x:v>box</x:v>
      </x:c>
      <x:c r="N119" s="30" t="n">
        <x:v>21.4</x:v>
      </x:c>
      <x:c r="O119" s="30" t="n">
        <x:v>0</x:v>
      </x:c>
      <x:c r="P119" s="30" t="n">
        <x:f>L119*N119+O119</x:f>
        <x:v>64.19999999999999</x:v>
      </x:c>
      <x:c r="Q119" s="32" t="n">
        <x:f>J119-I119</x:f>
        <x:v>9</x:v>
      </x:c>
      <x:c r="R119" s="32" t="n">
        <x:f>IF(K119="","",K119-I119)</x:f>
        <x:v>8</x:v>
      </x:c>
      <x:c r="S119" s="32" t="n">
        <x:f>IF(K119="","",MAX(0,K119-J119))</x:f>
        <x:v>0</x:v>
      </x:c>
      <x:c r="T119" t="str">
        <x:f>IF(K119="","PENDING",IF(K119&lt;=J119,"ON_TIME","LATE"))</x:f>
        <x:v>ON_TIME</x:v>
      </x:c>
      <x:c r="U119" t="str">
        <x:v>ACCEPTED</x:v>
      </x:c>
      <x:c r="V119" t="str">
        <x:v>LOW</x:v>
      </x:c>
      <x:c r="W119" t="str">
        <x:v>SUP-07</x:v>
      </x:c>
      <x:c r="X119" t="str">
        <x:v>Vendor web</x:v>
      </x:c>
      <x:c r="Y119" t="str">
        <x:v>Prototype iteration demand</x:v>
      </x:c>
      <x:c r="Z119" s="9" t="str">
        <x:v>SYNTHETIC_DEMO</x:v>
      </x:c>
    </x:row>
    <x:row r="120">
      <x:c r="A120" t="str">
        <x:v>SIM-UA-0119</x:v>
      </x:c>
      <x:c r="B120" t="str">
        <x:v>Smartphone optical readout</x:v>
      </x:c>
      <x:c r="C120" t="str">
        <x:v>IMG-002</x:v>
      </x:c>
      <x:c r="D120" t="str">
        <x:v>Macro lens attachment</x:v>
      </x:c>
      <x:c r="E120" t="str">
        <x:v>Smartphone lens, manual clip mount</x:v>
      </x:c>
      <x:c r="F120" t="str">
        <x:v>Optics &amp; electronics</x:v>
      </x:c>
      <x:c r="G120" t="str">
        <x:v>SUP-06</x:v>
      </x:c>
      <x:c r="H120" t="str">
        <x:v>Southwest Imaging Parts</x:v>
      </x:c>
      <x:c r="I120" s="28" t="n">
        <x:v>45756</x:v>
      </x:c>
      <x:c r="J120" s="28" t="n">
        <x:v>45762</x:v>
      </x:c>
      <x:c r="K120" s="28" t="n">
        <x:v>45767</x:v>
      </x:c>
      <x:c r="L120" s="32" t="n">
        <x:v>1</x:v>
      </x:c>
      <x:c r="M120" t="str">
        <x:v>unit</x:v>
      </x:c>
      <x:c r="N120" s="30" t="n">
        <x:v>52.53</x:v>
      </x:c>
      <x:c r="O120" s="30" t="n">
        <x:v>18</x:v>
      </x:c>
      <x:c r="P120" s="30" t="n">
        <x:f>L120*N120+O120</x:f>
        <x:v>70.53</x:v>
      </x:c>
      <x:c r="Q120" s="32" t="n">
        <x:f>J120-I120</x:f>
        <x:v>6</x:v>
      </x:c>
      <x:c r="R120" s="32" t="n">
        <x:f>IF(K120="","",K120-I120)</x:f>
        <x:v>11</x:v>
      </x:c>
      <x:c r="S120" s="32" t="n">
        <x:f>IF(K120="","",MAX(0,K120-J120))</x:f>
        <x:v>5</x:v>
      </x:c>
      <x:c r="T120" t="str">
        <x:f>IF(K120="","PENDING",IF(K120&lt;=J120,"ON_TIME","LATE"))</x:f>
        <x:v>LATE</x:v>
      </x:c>
      <x:c r="U120" t="str">
        <x:v>ACCEPTED</x:v>
      </x:c>
      <x:c r="V120" t="str">
        <x:v>MEDIUM</x:v>
      </x:c>
      <x:c r="W120" t="str">
        <x:v>SUP-07</x:v>
      </x:c>
      <x:c r="X120" t="str">
        <x:v>Vendor web</x:v>
      </x:c>
      <x:c r="Y120" t="str">
        <x:v>Illustrative delivery delay; review alternate sourcing</x:v>
      </x:c>
      <x:c r="Z120" s="9" t="str">
        <x:v>SYNTHETIC_DEMO</x:v>
      </x:c>
    </x:row>
    <x:row r="121">
      <x:c r="A121" t="str">
        <x:v>SIM-UA-0120</x:v>
      </x:c>
      <x:c r="B121" t="str">
        <x:v>IMCD kidney-on-a-chip</x:v>
      </x:c>
      <x:c r="C121" t="str">
        <x:v>OOC-002</x:v>
      </x:c>
      <x:c r="D121" t="str">
        <x:v>Porous membrane film</x:v>
      </x:c>
      <x:c r="E121" t="str">
        <x:v>0.4 µm, microfluidic support membrane</x:v>
      </x:c>
      <x:c r="F121" t="str">
        <x:v>Chip fabrication</x:v>
      </x:c>
      <x:c r="G121" t="str">
        <x:v>SUP-01</x:v>
      </x:c>
      <x:c r="H121" t="str">
        <x:v>Sonoran Scientific Supply</x:v>
      </x:c>
      <x:c r="I121" s="28" t="n">
        <x:v>45758</x:v>
      </x:c>
      <x:c r="J121" s="28" t="n">
        <x:v>45765</x:v>
      </x:c>
      <x:c r="K121" s="28" t="n">
        <x:v>45771</x:v>
      </x:c>
      <x:c r="L121" s="32" t="n">
        <x:v>3</x:v>
      </x:c>
      <x:c r="M121" t="str">
        <x:v>pack</x:v>
      </x:c>
      <x:c r="N121" s="30" t="n">
        <x:v>163.87</x:v>
      </x:c>
      <x:c r="O121" s="30" t="n">
        <x:v>0</x:v>
      </x:c>
      <x:c r="P121" s="30" t="n">
        <x:f>L121*N121+O121</x:f>
        <x:v>491.61</x:v>
      </x:c>
      <x:c r="Q121" s="32" t="n">
        <x:f>J121-I121</x:f>
        <x:v>7</x:v>
      </x:c>
      <x:c r="R121" s="32" t="n">
        <x:f>IF(K121="","",K121-I121)</x:f>
        <x:v>13</x:v>
      </x:c>
      <x:c r="S121" s="32" t="n">
        <x:f>IF(K121="","",MAX(0,K121-J121))</x:f>
        <x:v>6</x:v>
      </x:c>
      <x:c r="T121" t="str">
        <x:f>IF(K121="","PENDING",IF(K121&lt;=J121,"ON_TIME","LATE"))</x:f>
        <x:v>LATE</x:v>
      </x:c>
      <x:c r="U121" t="str">
        <x:v>ACCEPTED</x:v>
      </x:c>
      <x:c r="V121" t="str">
        <x:v>HIGH</x:v>
      </x:c>
      <x:c r="W121" t="str">
        <x:v>SUP-04</x:v>
      </x:c>
      <x:c r="X121" t="str">
        <x:v>Quote-to-PO</x:v>
      </x:c>
      <x:c r="Y121" t="str">
        <x:v>Illustrative delivery delay; review alternate sourcing</x:v>
      </x:c>
      <x:c r="Z121" s="9" t="str">
        <x:v>SYNTHETIC_DEMO</x:v>
      </x:c>
    </x:row>
    <x:row r="122">
      <x:c r="A122" t="str">
        <x:v>SIM-UA-0121</x:v>
      </x:c>
      <x:c r="B122" t="str">
        <x:v>IMCD kidney-on-a-chip</x:v>
      </x:c>
      <x:c r="C122" t="str">
        <x:v>OOC-015</x:v>
      </x:c>
      <x:c r="D122" t="str">
        <x:v>Syringe filters</x:v>
      </x:c>
      <x:c r="E122" t="str">
        <x:v>0.22 µm, sterile, 50/pack</x:v>
      </x:c>
      <x:c r="F122" t="str">
        <x:v>Cell culture</x:v>
      </x:c>
      <x:c r="G122" t="str">
        <x:v>SUP-02</x:v>
      </x:c>
      <x:c r="H122" t="str">
        <x:v>Desert BioReagents</x:v>
      </x:c>
      <x:c r="I122" s="28" t="n">
        <x:v>45760</x:v>
      </x:c>
      <x:c r="J122" s="28" t="n">
        <x:v>45763</x:v>
      </x:c>
      <x:c r="K122" s="28" t="n">
        <x:v>45763</x:v>
      </x:c>
      <x:c r="L122" s="32" t="n">
        <x:v>1</x:v>
      </x:c>
      <x:c r="M122" t="str">
        <x:v>pack</x:v>
      </x:c>
      <x:c r="N122" s="30" t="n">
        <x:v>89.16</x:v>
      </x:c>
      <x:c r="O122" s="30" t="n">
        <x:v>15</x:v>
      </x:c>
      <x:c r="P122" s="30" t="n">
        <x:f>L122*N122+O122</x:f>
        <x:v>104.16</x:v>
      </x:c>
      <x:c r="Q122" s="32" t="n">
        <x:f>J122-I122</x:f>
        <x:v>3</x:v>
      </x:c>
      <x:c r="R122" s="32" t="n">
        <x:f>IF(K122="","",K122-I122)</x:f>
        <x:v>3</x:v>
      </x:c>
      <x:c r="S122" s="32" t="n">
        <x:f>IF(K122="","",MAX(0,K122-J122))</x:f>
        <x:v>0</x:v>
      </x:c>
      <x:c r="T122" t="str">
        <x:f>IF(K122="","PENDING",IF(K122&lt;=J122,"ON_TIME","LATE"))</x:f>
        <x:v>ON_TIME</x:v>
      </x:c>
      <x:c r="U122" t="str">
        <x:v>ACCEPTED</x:v>
      </x:c>
      <x:c r="V122" t="str">
        <x:v>MEDIUM</x:v>
      </x:c>
      <x:c r="W122" t="str">
        <x:v>SUP-01</x:v>
      </x:c>
      <x:c r="X122" t="str">
        <x:v>Institutional catalog</x:v>
      </x:c>
      <x:c r="Y122" t="str">
        <x:v>Routine replenishment</x:v>
      </x:c>
      <x:c r="Z122" s="9" t="str">
        <x:v>SYNTHETIC_DEMO</x:v>
      </x:c>
    </x:row>
    <x:row r="123">
      <x:c r="A123" t="str">
        <x:v>SIM-UA-0122</x:v>
      </x:c>
      <x:c r="B123" t="str">
        <x:v>Smartphone optical readout</x:v>
      </x:c>
      <x:c r="C123" t="str">
        <x:v>IMG-001</x:v>
      </x:c>
      <x:c r="D123" t="str">
        <x:v>USB ring LED module</x:v>
      </x:c>
      <x:c r="E123" t="str">
        <x:v>Adjustable white LED, USB-powered</x:v>
      </x:c>
      <x:c r="F123" t="str">
        <x:v>Optics &amp; electronics</x:v>
      </x:c>
      <x:c r="G123" t="str">
        <x:v>SUP-06</x:v>
      </x:c>
      <x:c r="H123" t="str">
        <x:v>Southwest Imaging Parts</x:v>
      </x:c>
      <x:c r="I123" s="28" t="n">
        <x:v>45764</x:v>
      </x:c>
      <x:c r="J123" s="28" t="n">
        <x:v>45771</x:v>
      </x:c>
      <x:c r="K123" s="28" t="n">
        <x:v>45771</x:v>
      </x:c>
      <x:c r="L123" s="32" t="n">
        <x:v>2</x:v>
      </x:c>
      <x:c r="M123" t="str">
        <x:v>unit</x:v>
      </x:c>
      <x:c r="N123" s="30" t="n">
        <x:v>35.09</x:v>
      </x:c>
      <x:c r="O123" s="30" t="n">
        <x:v>22.5</x:v>
      </x:c>
      <x:c r="P123" s="30" t="n">
        <x:f>L123*N123+O123</x:f>
        <x:v>92.68</x:v>
      </x:c>
      <x:c r="Q123" s="32" t="n">
        <x:f>J123-I123</x:f>
        <x:v>7</x:v>
      </x:c>
      <x:c r="R123" s="32" t="n">
        <x:f>IF(K123="","",K123-I123)</x:f>
        <x:v>7</x:v>
      </x:c>
      <x:c r="S123" s="32" t="n">
        <x:f>IF(K123="","",MAX(0,K123-J123))</x:f>
        <x:v>0</x:v>
      </x:c>
      <x:c r="T123" t="str">
        <x:f>IF(K123="","PENDING",IF(K123&lt;=J123,"ON_TIME","LATE"))</x:f>
        <x:v>ON_TIME</x:v>
      </x:c>
      <x:c r="U123" t="str">
        <x:v>HOLD</x:v>
      </x:c>
      <x:c r="V123" t="str">
        <x:v>MEDIUM</x:v>
      </x:c>
      <x:c r="W123" t="str">
        <x:v>SUP-07</x:v>
      </x:c>
      <x:c r="X123" t="str">
        <x:v>Quote-to-PO</x:v>
      </x:c>
      <x:c r="Y123" t="str">
        <x:v>Routine replenishment</x:v>
      </x:c>
      <x:c r="Z123" s="9" t="str">
        <x:v>SYNTHETIC_DEMO</x:v>
      </x:c>
    </x:row>
    <x:row r="124">
      <x:c r="A124" t="str">
        <x:v>SIM-UA-0123</x:v>
      </x:c>
      <x:c r="B124" t="str">
        <x:v>Paper microfluidics (SALSA)</x:v>
      </x:c>
      <x:c r="C124" t="str">
        <x:v>PAP-003</x:v>
      </x:c>
      <x:c r="D124" t="str">
        <x:v>Nitrocellulose membrane</x:v>
      </x:c>
      <x:c r="E124" t="str">
        <x:v>0.45 µm, sheets, 25/pack</x:v>
      </x:c>
      <x:c r="F124" t="str">
        <x:v>Paper &amp; membrane</x:v>
      </x:c>
      <x:c r="G124" t="str">
        <x:v>SUP-03</x:v>
      </x:c>
      <x:c r="H124" t="str">
        <x:v>Catalina Paper &amp; Membrane</x:v>
      </x:c>
      <x:c r="I124" s="28" t="n">
        <x:v>45768</x:v>
      </x:c>
      <x:c r="J124" s="28" t="n">
        <x:v>45777</x:v>
      </x:c>
      <x:c r="K124" s="28" t="n">
        <x:v>45778</x:v>
      </x:c>
      <x:c r="L124" s="32" t="n">
        <x:v>3</x:v>
      </x:c>
      <x:c r="M124" t="str">
        <x:v>pack</x:v>
      </x:c>
      <x:c r="N124" s="30" t="n">
        <x:v>135.31</x:v>
      </x:c>
      <x:c r="O124" s="30" t="n">
        <x:v>12</x:v>
      </x:c>
      <x:c r="P124" s="30" t="n">
        <x:f>L124*N124+O124</x:f>
        <x:v>417.93</x:v>
      </x:c>
      <x:c r="Q124" s="32" t="n">
        <x:f>J124-I124</x:f>
        <x:v>9</x:v>
      </x:c>
      <x:c r="R124" s="32" t="n">
        <x:f>IF(K124="","",K124-I124)</x:f>
        <x:v>10</x:v>
      </x:c>
      <x:c r="S124" s="32" t="n">
        <x:f>IF(K124="","",MAX(0,K124-J124))</x:f>
        <x:v>1</x:v>
      </x:c>
      <x:c r="T124" t="str">
        <x:f>IF(K124="","PENDING",IF(K124&lt;=J124,"ON_TIME","LATE"))</x:f>
        <x:v>LATE</x:v>
      </x:c>
      <x:c r="U124" t="str">
        <x:v>ACCEPTED</x:v>
      </x:c>
      <x:c r="V124" t="str">
        <x:v>HIGH</x:v>
      </x:c>
      <x:c r="W124" t="str">
        <x:v>SUP-01</x:v>
      </x:c>
      <x:c r="X124" t="str">
        <x:v>Quote-to-PO</x:v>
      </x:c>
      <x:c r="Y124" t="str"/>
      <x:c r="Z124" s="9" t="str">
        <x:v>SYNTHETIC_DEMO</x:v>
      </x:c>
    </x:row>
    <x:row r="125">
      <x:c r="A125" t="str">
        <x:v>SIM-UA-0124</x:v>
      </x:c>
      <x:c r="B125" t="str">
        <x:v>IMCD kidney-on-a-chip</x:v>
      </x:c>
      <x:c r="C125" t="str">
        <x:v>OOC-001</x:v>
      </x:c>
      <x:c r="D125" t="str">
        <x:v>PDMS elastomer kit</x:v>
      </x:c>
      <x:c r="E125" t="str">
        <x:v>2-part silicone elastomer, approx. 1 kg</x:v>
      </x:c>
      <x:c r="F125" t="str">
        <x:v>Chip fabrication</x:v>
      </x:c>
      <x:c r="G125" t="str">
        <x:v>SUP-07</x:v>
      </x:c>
      <x:c r="H125" t="str">
        <x:v>RapidLab Alternate Source</x:v>
      </x:c>
      <x:c r="I125" s="28" t="n">
        <x:v>45769</x:v>
      </x:c>
      <x:c r="J125" s="28" t="n">
        <x:v>45774</x:v>
      </x:c>
      <x:c r="K125" s="28" t="n">
        <x:v>45781</x:v>
      </x:c>
      <x:c r="L125" s="32" t="n">
        <x:v>1</x:v>
      </x:c>
      <x:c r="M125" t="str">
        <x:v>kit</x:v>
      </x:c>
      <x:c r="N125" s="30" t="n">
        <x:v>210.96</x:v>
      </x:c>
      <x:c r="O125" s="30" t="n">
        <x:v>0</x:v>
      </x:c>
      <x:c r="P125" s="30" t="n">
        <x:f>L125*N125+O125</x:f>
        <x:v>210.96</x:v>
      </x:c>
      <x:c r="Q125" s="32" t="n">
        <x:f>J125-I125</x:f>
        <x:v>5</x:v>
      </x:c>
      <x:c r="R125" s="32" t="n">
        <x:f>IF(K125="","",K125-I125)</x:f>
        <x:v>12</x:v>
      </x:c>
      <x:c r="S125" s="32" t="n">
        <x:f>IF(K125="","",MAX(0,K125-J125))</x:f>
        <x:v>7</x:v>
      </x:c>
      <x:c r="T125" t="str">
        <x:f>IF(K125="","PENDING",IF(K125&lt;=J125,"ON_TIME","LATE"))</x:f>
        <x:v>LATE</x:v>
      </x:c>
      <x:c r="U125" t="str">
        <x:v>ACCEPTED</x:v>
      </x:c>
      <x:c r="V125" t="str">
        <x:v>HIGH</x:v>
      </x:c>
      <x:c r="W125" t="str">
        <x:v>SUP-04</x:v>
      </x:c>
      <x:c r="X125" t="str">
        <x:v>Vendor web</x:v>
      </x:c>
      <x:c r="Y125" t="str">
        <x:v>Illustrative delivery delay; review alternate sourcing</x:v>
      </x:c>
      <x:c r="Z125" s="9" t="str">
        <x:v>SYNTHETIC_DEMO</x:v>
      </x:c>
    </x:row>
    <x:row r="126">
      <x:c r="A126" t="str">
        <x:v>SIM-UA-0125</x:v>
      </x:c>
      <x:c r="B126" t="str">
        <x:v>IMCD kidney-on-a-chip</x:v>
      </x:c>
      <x:c r="C126" t="str">
        <x:v>OOC-015</x:v>
      </x:c>
      <x:c r="D126" t="str">
        <x:v>Syringe filters</x:v>
      </x:c>
      <x:c r="E126" t="str">
        <x:v>0.22 µm, sterile, 50/pack</x:v>
      </x:c>
      <x:c r="F126" t="str">
        <x:v>Cell culture</x:v>
      </x:c>
      <x:c r="G126" t="str">
        <x:v>SUP-02</x:v>
      </x:c>
      <x:c r="H126" t="str">
        <x:v>Desert BioReagents</x:v>
      </x:c>
      <x:c r="I126" s="28" t="n">
        <x:v>45771</x:v>
      </x:c>
      <x:c r="J126" s="28" t="n">
        <x:v>45779</x:v>
      </x:c>
      <x:c r="K126" s="28" t="n">
        <x:v>45779</x:v>
      </x:c>
      <x:c r="L126" s="32" t="n">
        <x:v>2</x:v>
      </x:c>
      <x:c r="M126" t="str">
        <x:v>pack</x:v>
      </x:c>
      <x:c r="N126" s="30" t="n">
        <x:v>99.03</x:v>
      </x:c>
      <x:c r="O126" s="30" t="n">
        <x:v>22.5</x:v>
      </x:c>
      <x:c r="P126" s="30" t="n">
        <x:f>L126*N126+O126</x:f>
        <x:v>220.56</x:v>
      </x:c>
      <x:c r="Q126" s="32" t="n">
        <x:f>J126-I126</x:f>
        <x:v>8</x:v>
      </x:c>
      <x:c r="R126" s="32" t="n">
        <x:f>IF(K126="","",K126-I126)</x:f>
        <x:v>8</x:v>
      </x:c>
      <x:c r="S126" s="32" t="n">
        <x:f>IF(K126="","",MAX(0,K126-J126))</x:f>
        <x:v>0</x:v>
      </x:c>
      <x:c r="T126" t="str">
        <x:f>IF(K126="","PENDING",IF(K126&lt;=J126,"ON_TIME","LATE"))</x:f>
        <x:v>ON_TIME</x:v>
      </x:c>
      <x:c r="U126" t="str">
        <x:v>ACCEPTED</x:v>
      </x:c>
      <x:c r="V126" t="str">
        <x:v>MEDIUM</x:v>
      </x:c>
      <x:c r="W126" t="str">
        <x:v>SUP-01</x:v>
      </x:c>
      <x:c r="X126" t="str">
        <x:v>Quote-to-PO</x:v>
      </x:c>
      <x:c r="Y126" t="str">
        <x:v>Routine replenishment</x:v>
      </x:c>
      <x:c r="Z126" s="9" t="str">
        <x:v>SYNTHETIC_DEMO</x:v>
      </x:c>
    </x:row>
    <x:row r="127">
      <x:c r="A127" t="str">
        <x:v>SIM-UA-0126</x:v>
      </x:c>
      <x:c r="B127" t="str">
        <x:v>Paper microfluidics (SALSA)</x:v>
      </x:c>
      <x:c r="C127" t="str">
        <x:v>PAP-011</x:v>
      </x:c>
      <x:c r="D127" t="str">
        <x:v>Microcentrifuge tubes</x:v>
      </x:c>
      <x:c r="E127" t="str">
        <x:v>1.5 mL, 500/pack</x:v>
      </x:c>
      <x:c r="F127" t="str">
        <x:v>Assay reagents</x:v>
      </x:c>
      <x:c r="G127" t="str">
        <x:v>SUP-01</x:v>
      </x:c>
      <x:c r="H127" t="str">
        <x:v>Sonoran Scientific Supply</x:v>
      </x:c>
      <x:c r="I127" s="28" t="n">
        <x:v>45773</x:v>
      </x:c>
      <x:c r="J127" s="28" t="n">
        <x:v>45781</x:v>
      </x:c>
      <x:c r="K127" s="28" t="n">
        <x:v>45780</x:v>
      </x:c>
      <x:c r="L127" s="32" t="n">
        <x:v>3</x:v>
      </x:c>
      <x:c r="M127" t="str">
        <x:v>pack</x:v>
      </x:c>
      <x:c r="N127" s="30" t="n">
        <x:v>35.52</x:v>
      </x:c>
      <x:c r="O127" s="30" t="n">
        <x:v>29</x:v>
      </x:c>
      <x:c r="P127" s="30" t="n">
        <x:f>L127*N127+O127</x:f>
        <x:v>135.56</x:v>
      </x:c>
      <x:c r="Q127" s="32" t="n">
        <x:f>J127-I127</x:f>
        <x:v>8</x:v>
      </x:c>
      <x:c r="R127" s="32" t="n">
        <x:f>IF(K127="","",K127-I127)</x:f>
        <x:v>7</x:v>
      </x:c>
      <x:c r="S127" s="32" t="n">
        <x:f>IF(K127="","",MAX(0,K127-J127))</x:f>
        <x:v>0</x:v>
      </x:c>
      <x:c r="T127" t="str">
        <x:f>IF(K127="","PENDING",IF(K127&lt;=J127,"ON_TIME","LATE"))</x:f>
        <x:v>ON_TIME</x:v>
      </x:c>
      <x:c r="U127" t="str">
        <x:v>ACCEPTED</x:v>
      </x:c>
      <x:c r="V127" t="str">
        <x:v>LOW</x:v>
      </x:c>
      <x:c r="W127" t="str">
        <x:v>SUP-07</x:v>
      </x:c>
      <x:c r="X127" t="str">
        <x:v>Institutional catalog</x:v>
      </x:c>
      <x:c r="Y127" t="str">
        <x:v>Routine replenishment</x:v>
      </x:c>
      <x:c r="Z127" s="9" t="str">
        <x:v>SYNTHETIC_DEMO</x:v>
      </x:c>
    </x:row>
    <x:row r="128">
      <x:c r="A128" t="str">
        <x:v>SIM-UA-0127</x:v>
      </x:c>
      <x:c r="B128" t="str">
        <x:v>IMCD kidney-on-a-chip</x:v>
      </x:c>
      <x:c r="C128" t="str">
        <x:v>OOC-002</x:v>
      </x:c>
      <x:c r="D128" t="str">
        <x:v>Porous membrane film</x:v>
      </x:c>
      <x:c r="E128" t="str">
        <x:v>0.4 µm, microfluidic support membrane</x:v>
      </x:c>
      <x:c r="F128" t="str">
        <x:v>Chip fabrication</x:v>
      </x:c>
      <x:c r="G128" t="str">
        <x:v>SUP-01</x:v>
      </x:c>
      <x:c r="H128" t="str">
        <x:v>Sonoran Scientific Supply</x:v>
      </x:c>
      <x:c r="I128" s="28" t="n">
        <x:v>45778</x:v>
      </x:c>
      <x:c r="J128" s="28" t="n">
        <x:v>45783</x:v>
      </x:c>
      <x:c r="K128" s="28" t="n">
        <x:v>45782</x:v>
      </x:c>
      <x:c r="L128" s="32" t="n">
        <x:v>2</x:v>
      </x:c>
      <x:c r="M128" t="str">
        <x:v>pack</x:v>
      </x:c>
      <x:c r="N128" s="30" t="n">
        <x:v>195.99</x:v>
      </x:c>
      <x:c r="O128" s="30" t="n">
        <x:v>15</x:v>
      </x:c>
      <x:c r="P128" s="30" t="n">
        <x:f>L128*N128+O128</x:f>
        <x:v>406.98</x:v>
      </x:c>
      <x:c r="Q128" s="32" t="n">
        <x:f>J128-I128</x:f>
        <x:v>5</x:v>
      </x:c>
      <x:c r="R128" s="32" t="n">
        <x:f>IF(K128="","",K128-I128)</x:f>
        <x:v>4</x:v>
      </x:c>
      <x:c r="S128" s="32" t="n">
        <x:f>IF(K128="","",MAX(0,K128-J128))</x:f>
        <x:v>0</x:v>
      </x:c>
      <x:c r="T128" t="str">
        <x:f>IF(K128="","PENDING",IF(K128&lt;=J128,"ON_TIME","LATE"))</x:f>
        <x:v>ON_TIME</x:v>
      </x:c>
      <x:c r="U128" t="str">
        <x:v>ACCEPTED</x:v>
      </x:c>
      <x:c r="V128" t="str">
        <x:v>HIGH</x:v>
      </x:c>
      <x:c r="W128" t="str">
        <x:v>SUP-04</x:v>
      </x:c>
      <x:c r="X128" t="str">
        <x:v>Institutional catalog</x:v>
      </x:c>
      <x:c r="Y128" t="str"/>
      <x:c r="Z128" s="9" t="str">
        <x:v>SYNTHETIC_DEMO</x:v>
      </x:c>
    </x:row>
    <x:row r="129">
      <x:c r="A129" t="str">
        <x:v>SIM-UA-0128</x:v>
      </x:c>
      <x:c r="B129" t="str">
        <x:v>Paper microfluidics (SALSA)</x:v>
      </x:c>
      <x:c r="C129" t="str">
        <x:v>PAP-007</x:v>
      </x:c>
      <x:c r="D129" t="str">
        <x:v>Phosphate-buffered saline</x:v>
      </x:c>
      <x:c r="E129" t="str">
        <x:v>1x PBS, 500 mL</x:v>
      </x:c>
      <x:c r="F129" t="str">
        <x:v>Assay reagents</x:v>
      </x:c>
      <x:c r="G129" t="str">
        <x:v>SUP-07</x:v>
      </x:c>
      <x:c r="H129" t="str">
        <x:v>RapidLab Alternate Source</x:v>
      </x:c>
      <x:c r="I129" s="28" t="n">
        <x:v>45780</x:v>
      </x:c>
      <x:c r="J129" s="28" t="n">
        <x:v>45786</x:v>
      </x:c>
      <x:c r="K129" s="28" t="n">
        <x:v>45784</x:v>
      </x:c>
      <x:c r="L129" s="32" t="n">
        <x:v>2</x:v>
      </x:c>
      <x:c r="M129" t="str">
        <x:v>bottle</x:v>
      </x:c>
      <x:c r="N129" s="30" t="n">
        <x:v>28.34</x:v>
      </x:c>
      <x:c r="O129" s="30" t="n">
        <x:v>22.5</x:v>
      </x:c>
      <x:c r="P129" s="30" t="n">
        <x:f>L129*N129+O129</x:f>
        <x:v>79.18</x:v>
      </x:c>
      <x:c r="Q129" s="32" t="n">
        <x:f>J129-I129</x:f>
        <x:v>6</x:v>
      </x:c>
      <x:c r="R129" s="32" t="n">
        <x:f>IF(K129="","",K129-I129)</x:f>
        <x:v>4</x:v>
      </x:c>
      <x:c r="S129" s="32" t="n">
        <x:f>IF(K129="","",MAX(0,K129-J129))</x:f>
        <x:v>0</x:v>
      </x:c>
      <x:c r="T129" t="str">
        <x:f>IF(K129="","PENDING",IF(K129&lt;=J129,"ON_TIME","LATE"))</x:f>
        <x:v>ON_TIME</x:v>
      </x:c>
      <x:c r="U129" t="str">
        <x:v>ACCEPTED</x:v>
      </x:c>
      <x:c r="V129" t="str">
        <x:v>MEDIUM</x:v>
      </x:c>
      <x:c r="W129" t="str">
        <x:v>SUP-01</x:v>
      </x:c>
      <x:c r="X129" t="str">
        <x:v>Vendor web</x:v>
      </x:c>
      <x:c r="Y129" t="str">
        <x:v>Prototype iteration demand</x:v>
      </x:c>
      <x:c r="Z129" s="9" t="str">
        <x:v>SYNTHETIC_DEMO</x:v>
      </x:c>
    </x:row>
    <x:row r="130">
      <x:c r="A130" t="str">
        <x:v>SIM-UA-0129</x:v>
      </x:c>
      <x:c r="B130" t="str">
        <x:v>Smartphone optical readout</x:v>
      </x:c>
      <x:c r="C130" t="str">
        <x:v>IMG-007</x:v>
      </x:c>
      <x:c r="D130" t="str">
        <x:v>Acrylic laser-cut frame</x:v>
      </x:c>
      <x:c r="E130" t="str">
        <x:v>Custom microfluidic imaging frame</x:v>
      </x:c>
      <x:c r="F130" t="str">
        <x:v>Prototype hardware</x:v>
      </x:c>
      <x:c r="G130" t="str">
        <x:v>SUP-08</x:v>
      </x:c>
      <x:c r="H130" t="str">
        <x:v>Precision Prototype Services</x:v>
      </x:c>
      <x:c r="I130" s="28" t="n">
        <x:v>45781</x:v>
      </x:c>
      <x:c r="J130" s="28" t="n">
        <x:v>45791</x:v>
      </x:c>
      <x:c r="K130" s="28" t="n">
        <x:v>45793</x:v>
      </x:c>
      <x:c r="L130" s="32" t="n">
        <x:v>1</x:v>
      </x:c>
      <x:c r="M130" t="str">
        <x:v>batch</x:v>
      </x:c>
      <x:c r="N130" s="30" t="n">
        <x:v>129.31</x:v>
      </x:c>
      <x:c r="O130" s="30" t="n">
        <x:v>8.5</x:v>
      </x:c>
      <x:c r="P130" s="30" t="n">
        <x:f>L130*N130+O130</x:f>
        <x:v>137.81</x:v>
      </x:c>
      <x:c r="Q130" s="32" t="n">
        <x:f>J130-I130</x:f>
        <x:v>10</x:v>
      </x:c>
      <x:c r="R130" s="32" t="n">
        <x:f>IF(K130="","",K130-I130)</x:f>
        <x:v>12</x:v>
      </x:c>
      <x:c r="S130" s="32" t="n">
        <x:f>IF(K130="","",MAX(0,K130-J130))</x:f>
        <x:v>2</x:v>
      </x:c>
      <x:c r="T130" t="str">
        <x:f>IF(K130="","PENDING",IF(K130&lt;=J130,"ON_TIME","LATE"))</x:f>
        <x:v>LATE</x:v>
      </x:c>
      <x:c r="U130" t="str">
        <x:v>ACCEPTED</x:v>
      </x:c>
      <x:c r="V130" t="str">
        <x:v>MEDIUM</x:v>
      </x:c>
      <x:c r="W130" t="str">
        <x:v>SUP-04</x:v>
      </x:c>
      <x:c r="X130" t="str">
        <x:v>Institutional catalog</x:v>
      </x:c>
      <x:c r="Y130" t="str">
        <x:v>Experiment schedule-driven reorder</x:v>
      </x:c>
      <x:c r="Z130" s="9" t="str">
        <x:v>SYNTHETIC_DEMO</x:v>
      </x:c>
    </x:row>
    <x:row r="131">
      <x:c r="A131" t="str">
        <x:v>SIM-UA-0130</x:v>
      </x:c>
      <x:c r="B131" t="str">
        <x:v>IMCD kidney-on-a-chip</x:v>
      </x:c>
      <x:c r="C131" t="str">
        <x:v>OOC-013</x:v>
      </x:c>
      <x:c r="D131" t="str">
        <x:v>Collagen coating solution</x:v>
      </x:c>
      <x:c r="E131" t="str">
        <x:v>Cell adhesion coating, 20 mL</x:v>
      </x:c>
      <x:c r="F131" t="str">
        <x:v>Cell culture</x:v>
      </x:c>
      <x:c r="G131" t="str">
        <x:v>SUP-02</x:v>
      </x:c>
      <x:c r="H131" t="str">
        <x:v>Desert BioReagents</x:v>
      </x:c>
      <x:c r="I131" s="28" t="n">
        <x:v>45781</x:v>
      </x:c>
      <x:c r="J131" s="28" t="n">
        <x:v>45789</x:v>
      </x:c>
      <x:c r="K131" s="28" t="n">
        <x:v>45787</x:v>
      </x:c>
      <x:c r="L131" s="32" t="n">
        <x:v>1</x:v>
      </x:c>
      <x:c r="M131" t="str">
        <x:v>bottle</x:v>
      </x:c>
      <x:c r="N131" s="30" t="n">
        <x:v>120.17</x:v>
      </x:c>
      <x:c r="O131" s="30" t="n">
        <x:v>8.5</x:v>
      </x:c>
      <x:c r="P131" s="30" t="n">
        <x:f>L131*N131+O131</x:f>
        <x:v>128.67000000000002</x:v>
      </x:c>
      <x:c r="Q131" s="32" t="n">
        <x:f>J131-I131</x:f>
        <x:v>8</x:v>
      </x:c>
      <x:c r="R131" s="32" t="n">
        <x:f>IF(K131="","",K131-I131)</x:f>
        <x:v>6</x:v>
      </x:c>
      <x:c r="S131" s="32" t="n">
        <x:f>IF(K131="","",MAX(0,K131-J131))</x:f>
        <x:v>0</x:v>
      </x:c>
      <x:c r="T131" t="str">
        <x:f>IF(K131="","PENDING",IF(K131&lt;=J131,"ON_TIME","LATE"))</x:f>
        <x:v>ON_TIME</x:v>
      </x:c>
      <x:c r="U131" t="str">
        <x:v>ACCEPTED</x:v>
      </x:c>
      <x:c r="V131" t="str">
        <x:v>HIGH</x:v>
      </x:c>
      <x:c r="W131" t="str">
        <x:v>SUP-01</x:v>
      </x:c>
      <x:c r="X131" t="str">
        <x:v>Institutional catalog</x:v>
      </x:c>
      <x:c r="Y131" t="str">
        <x:v>Experiment schedule-driven reorder</x:v>
      </x:c>
      <x:c r="Z131" s="9" t="str">
        <x:v>SYNTHETIC_DEMO</x:v>
      </x:c>
    </x:row>
    <x:row r="132">
      <x:c r="A132" t="str">
        <x:v>SIM-UA-0131</x:v>
      </x:c>
      <x:c r="B132" t="str">
        <x:v>IMCD kidney-on-a-chip</x:v>
      </x:c>
      <x:c r="C132" t="str">
        <x:v>OOC-008</x:v>
      </x:c>
      <x:c r="D132" t="str">
        <x:v>Flow restrictors and valves</x:v>
      </x:c>
      <x:c r="E132" t="str">
        <x:v>Small-bore fluidic assortment</x:v>
      </x:c>
      <x:c r="F132" t="str">
        <x:v>Fluidics hardware</x:v>
      </x:c>
      <x:c r="G132" t="str">
        <x:v>SUP-05</x:v>
      </x:c>
      <x:c r="H132" t="str">
        <x:v>Tucson Fluidics Components</x:v>
      </x:c>
      <x:c r="I132" s="28" t="n">
        <x:v>45782</x:v>
      </x:c>
      <x:c r="J132" s="28" t="n">
        <x:v>45786</x:v>
      </x:c>
      <x:c r="K132" s="28" t="n">
        <x:v>45795</x:v>
      </x:c>
      <x:c r="L132" s="32" t="n">
        <x:v>1</x:v>
      </x:c>
      <x:c r="M132" t="str">
        <x:v>set</x:v>
      </x:c>
      <x:c r="N132" s="30" t="n">
        <x:v>139.13</x:v>
      </x:c>
      <x:c r="O132" s="30" t="n">
        <x:v>15</x:v>
      </x:c>
      <x:c r="P132" s="30" t="n">
        <x:f>L132*N132+O132</x:f>
        <x:v>154.13</x:v>
      </x:c>
      <x:c r="Q132" s="32" t="n">
        <x:f>J132-I132</x:f>
        <x:v>4</x:v>
      </x:c>
      <x:c r="R132" s="32" t="n">
        <x:f>IF(K132="","",K132-I132)</x:f>
        <x:v>13</x:v>
      </x:c>
      <x:c r="S132" s="32" t="n">
        <x:f>IF(K132="","",MAX(0,K132-J132))</x:f>
        <x:v>9</x:v>
      </x:c>
      <x:c r="T132" t="str">
        <x:f>IF(K132="","PENDING",IF(K132&lt;=J132,"ON_TIME","LATE"))</x:f>
        <x:v>LATE</x:v>
      </x:c>
      <x:c r="U132" t="str">
        <x:v>ACCEPTED</x:v>
      </x:c>
      <x:c r="V132" t="str">
        <x:v>HIGH</x:v>
      </x:c>
      <x:c r="W132" t="str">
        <x:v>SUP-04</x:v>
      </x:c>
      <x:c r="X132" t="str">
        <x:v>Quote-to-PO</x:v>
      </x:c>
      <x:c r="Y132" t="str">
        <x:v>Illustrative backorder/long lead-time case; supplier capacity unverified</x:v>
      </x:c>
      <x:c r="Z132" s="9" t="str">
        <x:v>SYNTHETIC_DEMO</x:v>
      </x:c>
    </x:row>
    <x:row r="133">
      <x:c r="A133" t="str">
        <x:v>SIM-UA-0132</x:v>
      </x:c>
      <x:c r="B133" t="str">
        <x:v>Smartphone optical readout</x:v>
      </x:c>
      <x:c r="C133" t="str">
        <x:v>IMG-002</x:v>
      </x:c>
      <x:c r="D133" t="str">
        <x:v>Macro lens attachment</x:v>
      </x:c>
      <x:c r="E133" t="str">
        <x:v>Smartphone lens, manual clip mount</x:v>
      </x:c>
      <x:c r="F133" t="str">
        <x:v>Optics &amp; electronics</x:v>
      </x:c>
      <x:c r="G133" t="str">
        <x:v>SUP-07</x:v>
      </x:c>
      <x:c r="H133" t="str">
        <x:v>RapidLab Alternate Source</x:v>
      </x:c>
      <x:c r="I133" s="28" t="n">
        <x:v>45785</x:v>
      </x:c>
      <x:c r="J133" s="28" t="n">
        <x:v>45789</x:v>
      </x:c>
      <x:c r="K133" s="28" t="n">
        <x:v>45789</x:v>
      </x:c>
      <x:c r="L133" s="32" t="n">
        <x:v>1</x:v>
      </x:c>
      <x:c r="M133" t="str">
        <x:v>unit</x:v>
      </x:c>
      <x:c r="N133" s="30" t="n">
        <x:v>52.72</x:v>
      </x:c>
      <x:c r="O133" s="30" t="n">
        <x:v>22.5</x:v>
      </x:c>
      <x:c r="P133" s="30" t="n">
        <x:f>L133*N133+O133</x:f>
        <x:v>75.22</x:v>
      </x:c>
      <x:c r="Q133" s="32" t="n">
        <x:f>J133-I133</x:f>
        <x:v>4</x:v>
      </x:c>
      <x:c r="R133" s="32" t="n">
        <x:f>IF(K133="","",K133-I133)</x:f>
        <x:v>4</x:v>
      </x:c>
      <x:c r="S133" s="32" t="n">
        <x:f>IF(K133="","",MAX(0,K133-J133))</x:f>
        <x:v>0</x:v>
      </x:c>
      <x:c r="T133" t="str">
        <x:f>IF(K133="","PENDING",IF(K133&lt;=J133,"ON_TIME","LATE"))</x:f>
        <x:v>ON_TIME</x:v>
      </x:c>
      <x:c r="U133" t="str">
        <x:v>ACCEPTED</x:v>
      </x:c>
      <x:c r="V133" t="str">
        <x:v>MEDIUM</x:v>
      </x:c>
      <x:c r="W133" t="str">
        <x:v>SUP-06</x:v>
      </x:c>
      <x:c r="X133" t="str">
        <x:v>Quote-to-PO</x:v>
      </x:c>
      <x:c r="Y133" t="str"/>
      <x:c r="Z133" s="9" t="str">
        <x:v>SYNTHETIC_DEMO</x:v>
      </x:c>
    </x:row>
    <x:row r="134">
      <x:c r="A134" t="str">
        <x:v>SIM-UA-0133</x:v>
      </x:c>
      <x:c r="B134" t="str">
        <x:v>IMCD kidney-on-a-chip</x:v>
      </x:c>
      <x:c r="C134" t="str">
        <x:v>OOC-002</x:v>
      </x:c>
      <x:c r="D134" t="str">
        <x:v>Porous membrane film</x:v>
      </x:c>
      <x:c r="E134" t="str">
        <x:v>0.4 µm, microfluidic support membrane</x:v>
      </x:c>
      <x:c r="F134" t="str">
        <x:v>Chip fabrication</x:v>
      </x:c>
      <x:c r="G134" t="str">
        <x:v>SUP-04</x:v>
      </x:c>
      <x:c r="H134" t="str">
        <x:v>Canyon Microfabrication</x:v>
      </x:c>
      <x:c r="I134" s="28" t="n">
        <x:v>45787</x:v>
      </x:c>
      <x:c r="J134" s="28" t="n">
        <x:v>45801</x:v>
      </x:c>
      <x:c r="K134" s="28" t="n">
        <x:v>45801</x:v>
      </x:c>
      <x:c r="L134" s="32" t="n">
        <x:v>1</x:v>
      </x:c>
      <x:c r="M134" t="str">
        <x:v>pack</x:v>
      </x:c>
      <x:c r="N134" s="30" t="n">
        <x:v>183.54</x:v>
      </x:c>
      <x:c r="O134" s="30" t="n">
        <x:v>18</x:v>
      </x:c>
      <x:c r="P134" s="30" t="n">
        <x:f>L134*N134+O134</x:f>
        <x:v>201.54</x:v>
      </x:c>
      <x:c r="Q134" s="32" t="n">
        <x:f>J134-I134</x:f>
        <x:v>14</x:v>
      </x:c>
      <x:c r="R134" s="32" t="n">
        <x:f>IF(K134="","",K134-I134)</x:f>
        <x:v>14</x:v>
      </x:c>
      <x:c r="S134" s="32" t="n">
        <x:f>IF(K134="","",MAX(0,K134-J134))</x:f>
        <x:v>0</x:v>
      </x:c>
      <x:c r="T134" t="str">
        <x:f>IF(K134="","PENDING",IF(K134&lt;=J134,"ON_TIME","LATE"))</x:f>
        <x:v>ON_TIME</x:v>
      </x:c>
      <x:c r="U134" t="str">
        <x:v>ACCEPTED</x:v>
      </x:c>
      <x:c r="V134" t="str">
        <x:v>HIGH</x:v>
      </x:c>
      <x:c r="W134" t="str">
        <x:v>SUP-01</x:v>
      </x:c>
      <x:c r="X134" t="str">
        <x:v>Institutional catalog</x:v>
      </x:c>
      <x:c r="Y134" t="str"/>
      <x:c r="Z134" s="9" t="str">
        <x:v>SYNTHETIC_DEMO</x:v>
      </x:c>
    </x:row>
    <x:row r="135">
      <x:c r="A135" t="str">
        <x:v>SIM-UA-0134</x:v>
      </x:c>
      <x:c r="B135" t="str">
        <x:v>IMCD kidney-on-a-chip</x:v>
      </x:c>
      <x:c r="C135" t="str">
        <x:v>OOC-006</x:v>
      </x:c>
      <x:c r="D135" t="str">
        <x:v>Luer-lock connectors</x:v>
      </x:c>
      <x:c r="E135" t="str">
        <x:v>Male/female assorted, 25/pack</x:v>
      </x:c>
      <x:c r="F135" t="str">
        <x:v>Fluidics hardware</x:v>
      </x:c>
      <x:c r="G135" t="str">
        <x:v>SUP-05</x:v>
      </x:c>
      <x:c r="H135" t="str">
        <x:v>Tucson Fluidics Components</x:v>
      </x:c>
      <x:c r="I135" s="28" t="n">
        <x:v>45787</x:v>
      </x:c>
      <x:c r="J135" s="28" t="n">
        <x:v>45794</x:v>
      </x:c>
      <x:c r="K135" s="28" t="n">
        <x:v>45794</x:v>
      </x:c>
      <x:c r="L135" s="32" t="n">
        <x:v>1</x:v>
      </x:c>
      <x:c r="M135" t="str">
        <x:v>pack</x:v>
      </x:c>
      <x:c r="N135" s="30" t="n">
        <x:v>70.2</x:v>
      </x:c>
      <x:c r="O135" s="30" t="n">
        <x:v>12</x:v>
      </x:c>
      <x:c r="P135" s="30" t="n">
        <x:f>L135*N135+O135</x:f>
        <x:v>82.2</x:v>
      </x:c>
      <x:c r="Q135" s="32" t="n">
        <x:f>J135-I135</x:f>
        <x:v>7</x:v>
      </x:c>
      <x:c r="R135" s="32" t="n">
        <x:f>IF(K135="","",K135-I135)</x:f>
        <x:v>7</x:v>
      </x:c>
      <x:c r="S135" s="32" t="n">
        <x:f>IF(K135="","",MAX(0,K135-J135))</x:f>
        <x:v>0</x:v>
      </x:c>
      <x:c r="T135" t="str">
        <x:f>IF(K135="","PENDING",IF(K135&lt;=J135,"ON_TIME","LATE"))</x:f>
        <x:v>ON_TIME</x:v>
      </x:c>
      <x:c r="U135" t="str">
        <x:v>ACCEPTED</x:v>
      </x:c>
      <x:c r="V135" t="str">
        <x:v>HIGH</x:v>
      </x:c>
      <x:c r="W135" t="str">
        <x:v>SUP-07</x:v>
      </x:c>
      <x:c r="X135" t="str">
        <x:v>Quote-to-PO</x:v>
      </x:c>
      <x:c r="Y135" t="str">
        <x:v>Routine replenishment</x:v>
      </x:c>
      <x:c r="Z135" s="9" t="str">
        <x:v>SYNTHETIC_DEMO</x:v>
      </x:c>
    </x:row>
    <x:row r="136">
      <x:c r="A136" t="str">
        <x:v>SIM-UA-0135</x:v>
      </x:c>
      <x:c r="B136" t="str">
        <x:v>IMCD kidney-on-a-chip</x:v>
      </x:c>
      <x:c r="C136" t="str">
        <x:v>OOC-009</x:v>
      </x:c>
      <x:c r="D136" t="str">
        <x:v>DMEM/F-12 medium</x:v>
      </x:c>
      <x:c r="E136" t="str">
        <x:v>500 mL, sterile cell culture medium</x:v>
      </x:c>
      <x:c r="F136" t="str">
        <x:v>Cell culture</x:v>
      </x:c>
      <x:c r="G136" t="str">
        <x:v>SUP-01</x:v>
      </x:c>
      <x:c r="H136" t="str">
        <x:v>Sonoran Scientific Supply</x:v>
      </x:c>
      <x:c r="I136" s="28" t="n">
        <x:v>45787</x:v>
      </x:c>
      <x:c r="J136" s="28" t="n">
        <x:v>45791</x:v>
      </x:c>
      <x:c r="K136" s="28" t="n">
        <x:v>45791</x:v>
      </x:c>
      <x:c r="L136" s="32" t="n">
        <x:v>3</x:v>
      </x:c>
      <x:c r="M136" t="str">
        <x:v>bottle</x:v>
      </x:c>
      <x:c r="N136" s="30" t="n">
        <x:v>47.72</x:v>
      </x:c>
      <x:c r="O136" s="30" t="n">
        <x:v>8.5</x:v>
      </x:c>
      <x:c r="P136" s="30" t="n">
        <x:f>L136*N136+O136</x:f>
        <x:v>151.66</x:v>
      </x:c>
      <x:c r="Q136" s="32" t="n">
        <x:f>J136-I136</x:f>
        <x:v>4</x:v>
      </x:c>
      <x:c r="R136" s="32" t="n">
        <x:f>IF(K136="","",K136-I136)</x:f>
        <x:v>4</x:v>
      </x:c>
      <x:c r="S136" s="32" t="n">
        <x:f>IF(K136="","",MAX(0,K136-J136))</x:f>
        <x:v>0</x:v>
      </x:c>
      <x:c r="T136" t="str">
        <x:f>IF(K136="","PENDING",IF(K136&lt;=J136,"ON_TIME","LATE"))</x:f>
        <x:v>ON_TIME</x:v>
      </x:c>
      <x:c r="U136" t="str">
        <x:v>ACCEPTED</x:v>
      </x:c>
      <x:c r="V136" t="str">
        <x:v>HIGH</x:v>
      </x:c>
      <x:c r="W136" t="str">
        <x:v>SUP-02</x:v>
      </x:c>
      <x:c r="X136" t="str">
        <x:v>Vendor web</x:v>
      </x:c>
      <x:c r="Y136" t="str">
        <x:v>Experiment schedule-driven reorder</x:v>
      </x:c>
      <x:c r="Z136" s="9" t="str">
        <x:v>SYNTHETIC_DEMO</x:v>
      </x:c>
    </x:row>
    <x:row r="137">
      <x:c r="A137" t="str">
        <x:v>SIM-UA-0136</x:v>
      </x:c>
      <x:c r="B137" t="str">
        <x:v>Paper microfluidics (SALSA)</x:v>
      </x:c>
      <x:c r="C137" t="str">
        <x:v>PAP-010</x:v>
      </x:c>
      <x:c r="D137" t="str">
        <x:v>Fluorescein sodium salt</x:v>
      </x:c>
      <x:c r="E137" t="str">
        <x:v>Fluorescence reference reagent, 5 g</x:v>
      </x:c>
      <x:c r="F137" t="str">
        <x:v>Assay reagents</x:v>
      </x:c>
      <x:c r="G137" t="str">
        <x:v>SUP-02</x:v>
      </x:c>
      <x:c r="H137" t="str">
        <x:v>Desert BioReagents</x:v>
      </x:c>
      <x:c r="I137" s="28" t="n">
        <x:v>45789</x:v>
      </x:c>
      <x:c r="J137" s="28" t="n">
        <x:v>45793</x:v>
      </x:c>
      <x:c r="K137" s="28" t="n">
        <x:v>45793</x:v>
      </x:c>
      <x:c r="L137" s="32" t="n">
        <x:v>1</x:v>
      </x:c>
      <x:c r="M137" t="str">
        <x:v>bottle</x:v>
      </x:c>
      <x:c r="N137" s="30" t="n">
        <x:v>80.14</x:v>
      </x:c>
      <x:c r="O137" s="30" t="n">
        <x:v>8.5</x:v>
      </x:c>
      <x:c r="P137" s="30" t="n">
        <x:f>L137*N137+O137</x:f>
        <x:v>88.64</x:v>
      </x:c>
      <x:c r="Q137" s="32" t="n">
        <x:f>J137-I137</x:f>
        <x:v>4</x:v>
      </x:c>
      <x:c r="R137" s="32" t="n">
        <x:f>IF(K137="","",K137-I137)</x:f>
        <x:v>4</x:v>
      </x:c>
      <x:c r="S137" s="32" t="n">
        <x:f>IF(K137="","",MAX(0,K137-J137))</x:f>
        <x:v>0</x:v>
      </x:c>
      <x:c r="T137" t="str">
        <x:f>IF(K137="","PENDING",IF(K137&lt;=J137,"ON_TIME","LATE"))</x:f>
        <x:v>ON_TIME</x:v>
      </x:c>
      <x:c r="U137" t="str">
        <x:v>ACCEPTED</x:v>
      </x:c>
      <x:c r="V137" t="str">
        <x:v>MEDIUM</x:v>
      </x:c>
      <x:c r="W137" t="str">
        <x:v>SUP-01</x:v>
      </x:c>
      <x:c r="X137" t="str">
        <x:v>Vendor web</x:v>
      </x:c>
      <x:c r="Y137" t="str">
        <x:v>Routine replenishment</x:v>
      </x:c>
      <x:c r="Z137" s="9" t="str">
        <x:v>SYNTHETIC_DEMO</x:v>
      </x:c>
    </x:row>
    <x:row r="138">
      <x:c r="A138" t="str">
        <x:v>SIM-UA-0137</x:v>
      </x:c>
      <x:c r="B138" t="str">
        <x:v>Paper microfluidics (SALSA)</x:v>
      </x:c>
      <x:c r="C138" t="str">
        <x:v>PAP-001</x:v>
      </x:c>
      <x:c r="D138" t="str">
        <x:v>Cellulose filter paper</x:v>
      </x:c>
      <x:c r="E138" t="str">
        <x:v>Grade 1, 100 sheets</x:v>
      </x:c>
      <x:c r="F138" t="str">
        <x:v>Paper &amp; membrane</x:v>
      </x:c>
      <x:c r="G138" t="str">
        <x:v>SUP-03</x:v>
      </x:c>
      <x:c r="H138" t="str">
        <x:v>Catalina Paper &amp; Membrane</x:v>
      </x:c>
      <x:c r="I138" s="28" t="n">
        <x:v>45792</x:v>
      </x:c>
      <x:c r="J138" s="28" t="n">
        <x:v>45800</x:v>
      </x:c>
      <x:c r="K138" s="28" t="n">
        <x:v>45800</x:v>
      </x:c>
      <x:c r="L138" s="32" t="n">
        <x:v>3</x:v>
      </x:c>
      <x:c r="M138" t="str">
        <x:v>pack</x:v>
      </x:c>
      <x:c r="N138" s="30" t="n">
        <x:v>53.7</x:v>
      </x:c>
      <x:c r="O138" s="30" t="n">
        <x:v>15</x:v>
      </x:c>
      <x:c r="P138" s="30" t="n">
        <x:f>L138*N138+O138</x:f>
        <x:v>176.10000000000002</x:v>
      </x:c>
      <x:c r="Q138" s="32" t="n">
        <x:f>J138-I138</x:f>
        <x:v>8</x:v>
      </x:c>
      <x:c r="R138" s="32" t="n">
        <x:f>IF(K138="","",K138-I138)</x:f>
        <x:v>8</x:v>
      </x:c>
      <x:c r="S138" s="32" t="n">
        <x:f>IF(K138="","",MAX(0,K138-J138))</x:f>
        <x:v>0</x:v>
      </x:c>
      <x:c r="T138" t="str">
        <x:f>IF(K138="","PENDING",IF(K138&lt;=J138,"ON_TIME","LATE"))</x:f>
        <x:v>ON_TIME</x:v>
      </x:c>
      <x:c r="U138" t="str">
        <x:v>ACCEPTED</x:v>
      </x:c>
      <x:c r="V138" t="str">
        <x:v>MEDIUM</x:v>
      </x:c>
      <x:c r="W138" t="str">
        <x:v>SUP-01</x:v>
      </x:c>
      <x:c r="X138" t="str">
        <x:v>Institutional catalog</x:v>
      </x:c>
      <x:c r="Y138" t="str">
        <x:v>Routine replenishment</x:v>
      </x:c>
      <x:c r="Z138" s="9" t="str">
        <x:v>SYNTHETIC_DEMO</x:v>
      </x:c>
    </x:row>
    <x:row r="139">
      <x:c r="A139" t="str">
        <x:v>SIM-UA-0138</x:v>
      </x:c>
      <x:c r="B139" t="str">
        <x:v>Paper microfluidics (SALSA)</x:v>
      </x:c>
      <x:c r="C139" t="str">
        <x:v>PAP-003</x:v>
      </x:c>
      <x:c r="D139" t="str">
        <x:v>Nitrocellulose membrane</x:v>
      </x:c>
      <x:c r="E139" t="str">
        <x:v>0.45 µm, sheets, 25/pack</x:v>
      </x:c>
      <x:c r="F139" t="str">
        <x:v>Paper &amp; membrane</x:v>
      </x:c>
      <x:c r="G139" t="str">
        <x:v>SUP-03</x:v>
      </x:c>
      <x:c r="H139" t="str">
        <x:v>Catalina Paper &amp; Membrane</x:v>
      </x:c>
      <x:c r="I139" s="28" t="n">
        <x:v>45792</x:v>
      </x:c>
      <x:c r="J139" s="28" t="n">
        <x:v>45801</x:v>
      </x:c>
      <x:c r="K139" s="28" t="n">
        <x:v>45801</x:v>
      </x:c>
      <x:c r="L139" s="32" t="n">
        <x:v>1</x:v>
      </x:c>
      <x:c r="M139" t="str">
        <x:v>pack</x:v>
      </x:c>
      <x:c r="N139" s="30" t="n">
        <x:v>142</x:v>
      </x:c>
      <x:c r="O139" s="30" t="n">
        <x:v>12</x:v>
      </x:c>
      <x:c r="P139" s="30" t="n">
        <x:f>L139*N139+O139</x:f>
        <x:v>154</x:v>
      </x:c>
      <x:c r="Q139" s="32" t="n">
        <x:f>J139-I139</x:f>
        <x:v>9</x:v>
      </x:c>
      <x:c r="R139" s="32" t="n">
        <x:f>IF(K139="","",K139-I139)</x:f>
        <x:v>9</x:v>
      </x:c>
      <x:c r="S139" s="32" t="n">
        <x:f>IF(K139="","",MAX(0,K139-J139))</x:f>
        <x:v>0</x:v>
      </x:c>
      <x:c r="T139" t="str">
        <x:f>IF(K139="","PENDING",IF(K139&lt;=J139,"ON_TIME","LATE"))</x:f>
        <x:v>ON_TIME</x:v>
      </x:c>
      <x:c r="U139" t="str">
        <x:v>ACCEPTED</x:v>
      </x:c>
      <x:c r="V139" t="str">
        <x:v>HIGH</x:v>
      </x:c>
      <x:c r="W139" t="str">
        <x:v>SUP-01</x:v>
      </x:c>
      <x:c r="X139" t="str">
        <x:v>Quote-to-PO</x:v>
      </x:c>
      <x:c r="Y139" t="str">
        <x:v>Routine replenishment</x:v>
      </x:c>
      <x:c r="Z139" s="9" t="str">
        <x:v>SYNTHETIC_DEMO</x:v>
      </x:c>
    </x:row>
    <x:row r="140">
      <x:c r="A140" t="str">
        <x:v>SIM-UA-0139</x:v>
      </x:c>
      <x:c r="B140" t="str">
        <x:v>Paper microfluidics (SALSA)</x:v>
      </x:c>
      <x:c r="C140" t="str">
        <x:v>PAP-004</x:v>
      </x:c>
      <x:c r="D140" t="str">
        <x:v>Wax printing consumables</x:v>
      </x:c>
      <x:c r="E140" t="str">
        <x:v>Hydrophobic barrier patterning consumables</x:v>
      </x:c>
      <x:c r="F140" t="str">
        <x:v>Paper &amp; membrane</x:v>
      </x:c>
      <x:c r="G140" t="str">
        <x:v>SUP-03</x:v>
      </x:c>
      <x:c r="H140" t="str">
        <x:v>Catalina Paper &amp; Membrane</x:v>
      </x:c>
      <x:c r="I140" s="28" t="n">
        <x:v>45793</x:v>
      </x:c>
      <x:c r="J140" s="28" t="n">
        <x:v>45801</x:v>
      </x:c>
      <x:c r="K140" s="28" t="n">
        <x:v>45808</x:v>
      </x:c>
      <x:c r="L140" s="32" t="n">
        <x:v>2</x:v>
      </x:c>
      <x:c r="M140" t="str">
        <x:v>set</x:v>
      </x:c>
      <x:c r="N140" s="30" t="n">
        <x:v>87.98</x:v>
      </x:c>
      <x:c r="O140" s="30" t="n">
        <x:v>29</x:v>
      </x:c>
      <x:c r="P140" s="30" t="n">
        <x:f>L140*N140+O140</x:f>
        <x:v>204.96</x:v>
      </x:c>
      <x:c r="Q140" s="32" t="n">
        <x:f>J140-I140</x:f>
        <x:v>8</x:v>
      </x:c>
      <x:c r="R140" s="32" t="n">
        <x:f>IF(K140="","",K140-I140)</x:f>
        <x:v>15</x:v>
      </x:c>
      <x:c r="S140" s="32" t="n">
        <x:f>IF(K140="","",MAX(0,K140-J140))</x:f>
        <x:v>7</x:v>
      </x:c>
      <x:c r="T140" t="str">
        <x:f>IF(K140="","PENDING",IF(K140&lt;=J140,"ON_TIME","LATE"))</x:f>
        <x:v>LATE</x:v>
      </x:c>
      <x:c r="U140" t="str">
        <x:v>ACCEPTED</x:v>
      </x:c>
      <x:c r="V140" t="str">
        <x:v>MEDIUM</x:v>
      </x:c>
      <x:c r="W140" t="str">
        <x:v>SUP-07</x:v>
      </x:c>
      <x:c r="X140" t="str">
        <x:v>Vendor web</x:v>
      </x:c>
      <x:c r="Y140" t="str">
        <x:v>Illustrative delivery delay; review alternate sourcing</x:v>
      </x:c>
      <x:c r="Z140" s="9" t="str">
        <x:v>SYNTHETIC_DEMO</x:v>
      </x:c>
    </x:row>
    <x:row r="141">
      <x:c r="A141" t="str">
        <x:v>SIM-UA-0140</x:v>
      </x:c>
      <x:c r="B141" t="str">
        <x:v>IMCD kidney-on-a-chip</x:v>
      </x:c>
      <x:c r="C141" t="str">
        <x:v>OOC-009</x:v>
      </x:c>
      <x:c r="D141" t="str">
        <x:v>DMEM/F-12 medium</x:v>
      </x:c>
      <x:c r="E141" t="str">
        <x:v>500 mL, sterile cell culture medium</x:v>
      </x:c>
      <x:c r="F141" t="str">
        <x:v>Cell culture</x:v>
      </x:c>
      <x:c r="G141" t="str">
        <x:v>SUP-02</x:v>
      </x:c>
      <x:c r="H141" t="str">
        <x:v>Desert BioReagents</x:v>
      </x:c>
      <x:c r="I141" s="28" t="n">
        <x:v>45793</x:v>
      </x:c>
      <x:c r="J141" s="28" t="n">
        <x:v>45800</x:v>
      </x:c>
      <x:c r="K141" s="28" t="n">
        <x:v>45811</x:v>
      </x:c>
      <x:c r="L141" s="32" t="n">
        <x:v>3</x:v>
      </x:c>
      <x:c r="M141" t="str">
        <x:v>bottle</x:v>
      </x:c>
      <x:c r="N141" s="30" t="n">
        <x:v>47.55</x:v>
      </x:c>
      <x:c r="O141" s="30" t="n">
        <x:v>12</x:v>
      </x:c>
      <x:c r="P141" s="30" t="n">
        <x:f>L141*N141+O141</x:f>
        <x:v>154.64999999999998</x:v>
      </x:c>
      <x:c r="Q141" s="32" t="n">
        <x:f>J141-I141</x:f>
        <x:v>7</x:v>
      </x:c>
      <x:c r="R141" s="32" t="n">
        <x:f>IF(K141="","",K141-I141)</x:f>
        <x:v>18</x:v>
      </x:c>
      <x:c r="S141" s="32" t="n">
        <x:f>IF(K141="","",MAX(0,K141-J141))</x:f>
        <x:v>11</x:v>
      </x:c>
      <x:c r="T141" t="str">
        <x:f>IF(K141="","PENDING",IF(K141&lt;=J141,"ON_TIME","LATE"))</x:f>
        <x:v>LATE</x:v>
      </x:c>
      <x:c r="U141" t="str">
        <x:v>ACCEPTED</x:v>
      </x:c>
      <x:c r="V141" t="str">
        <x:v>HIGH</x:v>
      </x:c>
      <x:c r="W141" t="str">
        <x:v>SUP-01</x:v>
      </x:c>
      <x:c r="X141" t="str">
        <x:v>Vendor web</x:v>
      </x:c>
      <x:c r="Y141" t="str">
        <x:v>Illustrative backorder/long lead-time case; supplier capacity unverified</x:v>
      </x:c>
      <x:c r="Z141" s="9" t="str">
        <x:v>SYNTHETIC_DEMO</x:v>
      </x:c>
    </x:row>
    <x:row r="142">
      <x:c r="A142" t="str">
        <x:v>SIM-UA-0141</x:v>
      </x:c>
      <x:c r="B142" t="str">
        <x:v>IMCD kidney-on-a-chip</x:v>
      </x:c>
      <x:c r="C142" t="str">
        <x:v>OOC-001</x:v>
      </x:c>
      <x:c r="D142" t="str">
        <x:v>PDMS elastomer kit</x:v>
      </x:c>
      <x:c r="E142" t="str">
        <x:v>2-part silicone elastomer, approx. 1 kg</x:v>
      </x:c>
      <x:c r="F142" t="str">
        <x:v>Chip fabrication</x:v>
      </x:c>
      <x:c r="G142" t="str">
        <x:v>SUP-04</x:v>
      </x:c>
      <x:c r="H142" t="str">
        <x:v>Canyon Microfabrication</x:v>
      </x:c>
      <x:c r="I142" s="28" t="n">
        <x:v>45794</x:v>
      </x:c>
      <x:c r="J142" s="28" t="n">
        <x:v>45805</x:v>
      </x:c>
      <x:c r="K142" s="28" t="n">
        <x:v>45805</x:v>
      </x:c>
      <x:c r="L142" s="32" t="n">
        <x:v>3</x:v>
      </x:c>
      <x:c r="M142" t="str">
        <x:v>kit</x:v>
      </x:c>
      <x:c r="N142" s="30" t="n">
        <x:v>227.86</x:v>
      </x:c>
      <x:c r="O142" s="30" t="n">
        <x:v>22.5</x:v>
      </x:c>
      <x:c r="P142" s="30" t="n">
        <x:f>L142*N142+O142</x:f>
        <x:v>706.08</x:v>
      </x:c>
      <x:c r="Q142" s="32" t="n">
        <x:f>J142-I142</x:f>
        <x:v>11</x:v>
      </x:c>
      <x:c r="R142" s="32" t="n">
        <x:f>IF(K142="","",K142-I142)</x:f>
        <x:v>11</x:v>
      </x:c>
      <x:c r="S142" s="32" t="n">
        <x:f>IF(K142="","",MAX(0,K142-J142))</x:f>
        <x:v>0</x:v>
      </x:c>
      <x:c r="T142" t="str">
        <x:f>IF(K142="","PENDING",IF(K142&lt;=J142,"ON_TIME","LATE"))</x:f>
        <x:v>ON_TIME</x:v>
      </x:c>
      <x:c r="U142" t="str">
        <x:v>ACCEPTED</x:v>
      </x:c>
      <x:c r="V142" t="str">
        <x:v>HIGH</x:v>
      </x:c>
      <x:c r="W142" t="str">
        <x:v>SUP-07</x:v>
      </x:c>
      <x:c r="X142" t="str">
        <x:v>Institutional catalog</x:v>
      </x:c>
      <x:c r="Y142" t="str">
        <x:v>Experiment schedule-driven reorder</x:v>
      </x:c>
      <x:c r="Z142" s="9" t="str">
        <x:v>SYNTHETIC_DEMO</x:v>
      </x:c>
    </x:row>
    <x:row r="143">
      <x:c r="A143" t="str">
        <x:v>SIM-UA-0142</x:v>
      </x:c>
      <x:c r="B143" t="str">
        <x:v>Paper microfluidics (SALSA)</x:v>
      </x:c>
      <x:c r="C143" t="str">
        <x:v>PAP-002</x:v>
      </x:c>
      <x:c r="D143" t="str">
        <x:v>Chromatography paper</x:v>
      </x:c>
      <x:c r="E143" t="str">
        <x:v>Grade 1 CHR, 100 sheets</x:v>
      </x:c>
      <x:c r="F143" t="str">
        <x:v>Paper &amp; membrane</x:v>
      </x:c>
      <x:c r="G143" t="str">
        <x:v>SUP-01</x:v>
      </x:c>
      <x:c r="H143" t="str">
        <x:v>Sonoran Scientific Supply</x:v>
      </x:c>
      <x:c r="I143" s="28" t="n">
        <x:v>45795</x:v>
      </x:c>
      <x:c r="J143" s="28" t="n">
        <x:v>45804</x:v>
      </x:c>
      <x:c r="K143" s="28" t="n">
        <x:v>45803</x:v>
      </x:c>
      <x:c r="L143" s="32" t="n">
        <x:v>2</x:v>
      </x:c>
      <x:c r="M143" t="str">
        <x:v>pack</x:v>
      </x:c>
      <x:c r="N143" s="30" t="n">
        <x:v>85.4</x:v>
      </x:c>
      <x:c r="O143" s="30" t="n">
        <x:v>8.5</x:v>
      </x:c>
      <x:c r="P143" s="30" t="n">
        <x:f>L143*N143+O143</x:f>
        <x:v>179.3</x:v>
      </x:c>
      <x:c r="Q143" s="32" t="n">
        <x:f>J143-I143</x:f>
        <x:v>9</x:v>
      </x:c>
      <x:c r="R143" s="32" t="n">
        <x:f>IF(K143="","",K143-I143)</x:f>
        <x:v>8</x:v>
      </x:c>
      <x:c r="S143" s="32" t="n">
        <x:f>IF(K143="","",MAX(0,K143-J143))</x:f>
        <x:v>0</x:v>
      </x:c>
      <x:c r="T143" t="str">
        <x:f>IF(K143="","PENDING",IF(K143&lt;=J143,"ON_TIME","LATE"))</x:f>
        <x:v>ON_TIME</x:v>
      </x:c>
      <x:c r="U143" t="str">
        <x:v>ACCEPTED</x:v>
      </x:c>
      <x:c r="V143" t="str">
        <x:v>MEDIUM</x:v>
      </x:c>
      <x:c r="W143" t="str">
        <x:v>SUP-03</x:v>
      </x:c>
      <x:c r="X143" t="str">
        <x:v>Quote-to-PO</x:v>
      </x:c>
      <x:c r="Y143" t="str"/>
      <x:c r="Z143" s="9" t="str">
        <x:v>SYNTHETIC_DEMO</x:v>
      </x:c>
    </x:row>
    <x:row r="144">
      <x:c r="A144" t="str">
        <x:v>SIM-UA-0143</x:v>
      </x:c>
      <x:c r="B144" t="str">
        <x:v>Paper microfluidics (SALSA)</x:v>
      </x:c>
      <x:c r="C144" t="str">
        <x:v>PAP-009</x:v>
      </x:c>
      <x:c r="D144" t="str">
        <x:v>Food-safe model dye set</x:v>
      </x:c>
      <x:c r="E144" t="str">
        <x:v>Colored tracer liquids for imaging calibration</x:v>
      </x:c>
      <x:c r="F144" t="str">
        <x:v>Assay reagents</x:v>
      </x:c>
      <x:c r="G144" t="str">
        <x:v>SUP-07</x:v>
      </x:c>
      <x:c r="H144" t="str">
        <x:v>RapidLab Alternate Source</x:v>
      </x:c>
      <x:c r="I144" s="28" t="n">
        <x:v>45797</x:v>
      </x:c>
      <x:c r="J144" s="28" t="n">
        <x:v>45802</x:v>
      </x:c>
      <x:c r="K144" s="28" t="n">
        <x:v>45802</x:v>
      </x:c>
      <x:c r="L144" s="32" t="n">
        <x:v>2</x:v>
      </x:c>
      <x:c r="M144" t="str">
        <x:v>kit</x:v>
      </x:c>
      <x:c r="N144" s="30" t="n">
        <x:v>42.49</x:v>
      </x:c>
      <x:c r="O144" s="30" t="n">
        <x:v>29</x:v>
      </x:c>
      <x:c r="P144" s="30" t="n">
        <x:f>L144*N144+O144</x:f>
        <x:v>113.98</x:v>
      </x:c>
      <x:c r="Q144" s="32" t="n">
        <x:f>J144-I144</x:f>
        <x:v>5</x:v>
      </x:c>
      <x:c r="R144" s="32" t="n">
        <x:f>IF(K144="","",K144-I144)</x:f>
        <x:v>5</x:v>
      </x:c>
      <x:c r="S144" s="32" t="n">
        <x:f>IF(K144="","",MAX(0,K144-J144))</x:f>
        <x:v>0</x:v>
      </x:c>
      <x:c r="T144" t="str">
        <x:f>IF(K144="","PENDING",IF(K144&lt;=J144,"ON_TIME","LATE"))</x:f>
        <x:v>ON_TIME</x:v>
      </x:c>
      <x:c r="U144" t="str">
        <x:v>ACCEPTED</x:v>
      </x:c>
      <x:c r="V144" t="str">
        <x:v>LOW</x:v>
      </x:c>
      <x:c r="W144" t="str">
        <x:v>SUP-01</x:v>
      </x:c>
      <x:c r="X144" t="str">
        <x:v>Institutional catalog</x:v>
      </x:c>
      <x:c r="Y144" t="str">
        <x:v>Routine replenishment</x:v>
      </x:c>
      <x:c r="Z144" s="9" t="str">
        <x:v>SYNTHETIC_DEMO</x:v>
      </x:c>
    </x:row>
    <x:row r="145">
      <x:c r="A145" t="str">
        <x:v>SIM-UA-0144</x:v>
      </x:c>
      <x:c r="B145" t="str">
        <x:v>IMCD kidney-on-a-chip</x:v>
      </x:c>
      <x:c r="C145" t="str">
        <x:v>OOC-006</x:v>
      </x:c>
      <x:c r="D145" t="str">
        <x:v>Luer-lock connectors</x:v>
      </x:c>
      <x:c r="E145" t="str">
        <x:v>Male/female assorted, 25/pack</x:v>
      </x:c>
      <x:c r="F145" t="str">
        <x:v>Fluidics hardware</x:v>
      </x:c>
      <x:c r="G145" t="str">
        <x:v>SUP-07</x:v>
      </x:c>
      <x:c r="H145" t="str">
        <x:v>RapidLab Alternate Source</x:v>
      </x:c>
      <x:c r="I145" s="28" t="n">
        <x:v>45800</x:v>
      </x:c>
      <x:c r="J145" s="28" t="n">
        <x:v>45805</x:v>
      </x:c>
      <x:c r="K145" s="28" t="n">
        <x:v>45806</x:v>
      </x:c>
      <x:c r="L145" s="32" t="n">
        <x:v>1</x:v>
      </x:c>
      <x:c r="M145" t="str">
        <x:v>pack</x:v>
      </x:c>
      <x:c r="N145" s="30" t="n">
        <x:v>69.37</x:v>
      </x:c>
      <x:c r="O145" s="30" t="n">
        <x:v>8.5</x:v>
      </x:c>
      <x:c r="P145" s="30" t="n">
        <x:f>L145*N145+O145</x:f>
        <x:v>77.87</x:v>
      </x:c>
      <x:c r="Q145" s="32" t="n">
        <x:f>J145-I145</x:f>
        <x:v>5</x:v>
      </x:c>
      <x:c r="R145" s="32" t="n">
        <x:f>IF(K145="","",K145-I145)</x:f>
        <x:v>6</x:v>
      </x:c>
      <x:c r="S145" s="32" t="n">
        <x:f>IF(K145="","",MAX(0,K145-J145))</x:f>
        <x:v>1</x:v>
      </x:c>
      <x:c r="T145" t="str">
        <x:f>IF(K145="","PENDING",IF(K145&lt;=J145,"ON_TIME","LATE"))</x:f>
        <x:v>LATE</x:v>
      </x:c>
      <x:c r="U145" t="str">
        <x:v>ACCEPTED</x:v>
      </x:c>
      <x:c r="V145" t="str">
        <x:v>HIGH</x:v>
      </x:c>
      <x:c r="W145" t="str">
        <x:v>SUP-05</x:v>
      </x:c>
      <x:c r="X145" t="str">
        <x:v>Institutional catalog</x:v>
      </x:c>
      <x:c r="Y145" t="str"/>
      <x:c r="Z145" s="9" t="str">
        <x:v>SYNTHETIC_DEMO</x:v>
      </x:c>
    </x:row>
    <x:row r="146">
      <x:c r="A146" t="str">
        <x:v>SIM-UA-0145</x:v>
      </x:c>
      <x:c r="B146" t="str">
        <x:v>Paper microfluidics (SALSA)</x:v>
      </x:c>
      <x:c r="C146" t="str">
        <x:v>PAP-001</x:v>
      </x:c>
      <x:c r="D146" t="str">
        <x:v>Cellulose filter paper</x:v>
      </x:c>
      <x:c r="E146" t="str">
        <x:v>Grade 1, 100 sheets</x:v>
      </x:c>
      <x:c r="F146" t="str">
        <x:v>Paper &amp; membrane</x:v>
      </x:c>
      <x:c r="G146" t="str">
        <x:v>SUP-03</x:v>
      </x:c>
      <x:c r="H146" t="str">
        <x:v>Catalina Paper &amp; Membrane</x:v>
      </x:c>
      <x:c r="I146" s="28" t="n">
        <x:v>45800</x:v>
      </x:c>
      <x:c r="J146" s="28" t="n">
        <x:v>45811</x:v>
      </x:c>
      <x:c r="K146" s="28" t="n">
        <x:v>45816</x:v>
      </x:c>
      <x:c r="L146" s="32" t="n">
        <x:v>1</x:v>
      </x:c>
      <x:c r="M146" t="str">
        <x:v>pack</x:v>
      </x:c>
      <x:c r="N146" s="30" t="n">
        <x:v>48.47</x:v>
      </x:c>
      <x:c r="O146" s="30" t="n">
        <x:v>22.5</x:v>
      </x:c>
      <x:c r="P146" s="30" t="n">
        <x:f>L146*N146+O146</x:f>
        <x:v>70.97</x:v>
      </x:c>
      <x:c r="Q146" s="32" t="n">
        <x:f>J146-I146</x:f>
        <x:v>11</x:v>
      </x:c>
      <x:c r="R146" s="32" t="n">
        <x:f>IF(K146="","",K146-I146)</x:f>
        <x:v>16</x:v>
      </x:c>
      <x:c r="S146" s="32" t="n">
        <x:f>IF(K146="","",MAX(0,K146-J146))</x:f>
        <x:v>5</x:v>
      </x:c>
      <x:c r="T146" t="str">
        <x:f>IF(K146="","PENDING",IF(K146&lt;=J146,"ON_TIME","LATE"))</x:f>
        <x:v>LATE</x:v>
      </x:c>
      <x:c r="U146" t="str">
        <x:v>ACCEPTED</x:v>
      </x:c>
      <x:c r="V146" t="str">
        <x:v>MEDIUM</x:v>
      </x:c>
      <x:c r="W146" t="str">
        <x:v>SUP-01</x:v>
      </x:c>
      <x:c r="X146" t="str">
        <x:v>Quote-to-PO</x:v>
      </x:c>
      <x:c r="Y146" t="str">
        <x:v>Illustrative delivery delay; review alternate sourcing</x:v>
      </x:c>
      <x:c r="Z146" s="9" t="str">
        <x:v>SYNTHETIC_DEMO</x:v>
      </x:c>
    </x:row>
    <x:row r="147">
      <x:c r="A147" t="str">
        <x:v>SIM-UA-0146</x:v>
      </x:c>
      <x:c r="B147" t="str">
        <x:v>IMCD kidney-on-a-chip</x:v>
      </x:c>
      <x:c r="C147" t="str">
        <x:v>OOC-012</x:v>
      </x:c>
      <x:c r="D147" t="str">
        <x:v>Trypsin-EDTA</x:v>
      </x:c>
      <x:c r="E147" t="str">
        <x:v>100 mL, cell dissociation</x:v>
      </x:c>
      <x:c r="F147" t="str">
        <x:v>Cell culture</x:v>
      </x:c>
      <x:c r="G147" t="str">
        <x:v>SUP-02</x:v>
      </x:c>
      <x:c r="H147" t="str">
        <x:v>Desert BioReagents</x:v>
      </x:c>
      <x:c r="I147" s="28" t="n">
        <x:v>45801</x:v>
      </x:c>
      <x:c r="J147" s="28" t="n">
        <x:v>45806</x:v>
      </x:c>
      <x:c r="K147" s="28" t="n">
        <x:v>45806</x:v>
      </x:c>
      <x:c r="L147" s="32" t="n">
        <x:v>3</x:v>
      </x:c>
      <x:c r="M147" t="str">
        <x:v>bottle</x:v>
      </x:c>
      <x:c r="N147" s="30" t="n">
        <x:v>37.52</x:v>
      </x:c>
      <x:c r="O147" s="30" t="n">
        <x:v>12</x:v>
      </x:c>
      <x:c r="P147" s="30" t="n">
        <x:f>L147*N147+O147</x:f>
        <x:v>124.56</x:v>
      </x:c>
      <x:c r="Q147" s="32" t="n">
        <x:f>J147-I147</x:f>
        <x:v>5</x:v>
      </x:c>
      <x:c r="R147" s="32" t="n">
        <x:f>IF(K147="","",K147-I147)</x:f>
        <x:v>5</x:v>
      </x:c>
      <x:c r="S147" s="32" t="n">
        <x:f>IF(K147="","",MAX(0,K147-J147))</x:f>
        <x:v>0</x:v>
      </x:c>
      <x:c r="T147" t="str">
        <x:f>IF(K147="","PENDING",IF(K147&lt;=J147,"ON_TIME","LATE"))</x:f>
        <x:v>ON_TIME</x:v>
      </x:c>
      <x:c r="U147" t="str">
        <x:v>ACCEPTED</x:v>
      </x:c>
      <x:c r="V147" t="str">
        <x:v>MEDIUM</x:v>
      </x:c>
      <x:c r="W147" t="str">
        <x:v>SUP-01</x:v>
      </x:c>
      <x:c r="X147" t="str">
        <x:v>Institutional catalog</x:v>
      </x:c>
      <x:c r="Y147" t="str">
        <x:v>Prototype iteration demand</x:v>
      </x:c>
      <x:c r="Z147" s="9" t="str">
        <x:v>SYNTHETIC_DEMO</x:v>
      </x:c>
    </x:row>
    <x:row r="148">
      <x:c r="A148" t="str">
        <x:v>SIM-UA-0147</x:v>
      </x:c>
      <x:c r="B148" t="str">
        <x:v>IMCD kidney-on-a-chip</x:v>
      </x:c>
      <x:c r="C148" t="str">
        <x:v>OOC-003</x:v>
      </x:c>
      <x:c r="D148" t="str">
        <x:v>Microscope glass slides</x:v>
      </x:c>
      <x:c r="E148" t="str">
        <x:v>75 × 25 mm, 72/box</x:v>
      </x:c>
      <x:c r="F148" t="str">
        <x:v>Chip fabrication</x:v>
      </x:c>
      <x:c r="G148" t="str">
        <x:v>SUP-01</x:v>
      </x:c>
      <x:c r="H148" t="str">
        <x:v>Sonoran Scientific Supply</x:v>
      </x:c>
      <x:c r="I148" s="28" t="n">
        <x:v>45802</x:v>
      </x:c>
      <x:c r="J148" s="28" t="n">
        <x:v>45810</x:v>
      </x:c>
      <x:c r="K148" s="28" t="n">
        <x:v>45817</x:v>
      </x:c>
      <x:c r="L148" s="32" t="n">
        <x:v>1</x:v>
      </x:c>
      <x:c r="M148" t="str">
        <x:v>box</x:v>
      </x:c>
      <x:c r="N148" s="30" t="n">
        <x:v>34.23</x:v>
      </x:c>
      <x:c r="O148" s="30" t="n">
        <x:v>29</x:v>
      </x:c>
      <x:c r="P148" s="30" t="n">
        <x:f>L148*N148+O148</x:f>
        <x:v>63.23</x:v>
      </x:c>
      <x:c r="Q148" s="32" t="n">
        <x:f>J148-I148</x:f>
        <x:v>8</x:v>
      </x:c>
      <x:c r="R148" s="32" t="n">
        <x:f>IF(K148="","",K148-I148)</x:f>
        <x:v>15</x:v>
      </x:c>
      <x:c r="S148" s="32" t="n">
        <x:f>IF(K148="","",MAX(0,K148-J148))</x:f>
        <x:v>7</x:v>
      </x:c>
      <x:c r="T148" t="str">
        <x:f>IF(K148="","PENDING",IF(K148&lt;=J148,"ON_TIME","LATE"))</x:f>
        <x:v>LATE</x:v>
      </x:c>
      <x:c r="U148" t="str">
        <x:v>ACCEPTED</x:v>
      </x:c>
      <x:c r="V148" t="str">
        <x:v>MEDIUM</x:v>
      </x:c>
      <x:c r="W148" t="str">
        <x:v>SUP-04</x:v>
      </x:c>
      <x:c r="X148" t="str">
        <x:v>Institutional catalog</x:v>
      </x:c>
      <x:c r="Y148" t="str">
        <x:v>Illustrative delivery delay; review alternate sourcing</x:v>
      </x:c>
      <x:c r="Z148" s="9" t="str">
        <x:v>SYNTHETIC_DEMO</x:v>
      </x:c>
    </x:row>
    <x:row r="149">
      <x:c r="A149" t="str">
        <x:v>SIM-UA-0148</x:v>
      </x:c>
      <x:c r="B149" t="str">
        <x:v>IMCD kidney-on-a-chip</x:v>
      </x:c>
      <x:c r="C149" t="str">
        <x:v>OOC-015</x:v>
      </x:c>
      <x:c r="D149" t="str">
        <x:v>Syringe filters</x:v>
      </x:c>
      <x:c r="E149" t="str">
        <x:v>0.22 µm, sterile, 50/pack</x:v>
      </x:c>
      <x:c r="F149" t="str">
        <x:v>Cell culture</x:v>
      </x:c>
      <x:c r="G149" t="str">
        <x:v>SUP-02</x:v>
      </x:c>
      <x:c r="H149" t="str">
        <x:v>Desert BioReagents</x:v>
      </x:c>
      <x:c r="I149" s="28" t="n">
        <x:v>45805</x:v>
      </x:c>
      <x:c r="J149" s="28" t="n">
        <x:v>45808</x:v>
      </x:c>
      <x:c r="K149" s="28" t="n">
        <x:v>45806</x:v>
      </x:c>
      <x:c r="L149" s="32" t="n">
        <x:v>2</x:v>
      </x:c>
      <x:c r="M149" t="str">
        <x:v>pack</x:v>
      </x:c>
      <x:c r="N149" s="30" t="n">
        <x:v>100.19</x:v>
      </x:c>
      <x:c r="O149" s="30" t="n">
        <x:v>0</x:v>
      </x:c>
      <x:c r="P149" s="30" t="n">
        <x:f>L149*N149+O149</x:f>
        <x:v>200.38</x:v>
      </x:c>
      <x:c r="Q149" s="32" t="n">
        <x:f>J149-I149</x:f>
        <x:v>3</x:v>
      </x:c>
      <x:c r="R149" s="32" t="n">
        <x:f>IF(K149="","",K149-I149)</x:f>
        <x:v>1</x:v>
      </x:c>
      <x:c r="S149" s="32" t="n">
        <x:f>IF(K149="","",MAX(0,K149-J149))</x:f>
        <x:v>0</x:v>
      </x:c>
      <x:c r="T149" t="str">
        <x:f>IF(K149="","PENDING",IF(K149&lt;=J149,"ON_TIME","LATE"))</x:f>
        <x:v>ON_TIME</x:v>
      </x:c>
      <x:c r="U149" t="str">
        <x:v>ACCEPTED</x:v>
      </x:c>
      <x:c r="V149" t="str">
        <x:v>MEDIUM</x:v>
      </x:c>
      <x:c r="W149" t="str">
        <x:v>SUP-01</x:v>
      </x:c>
      <x:c r="X149" t="str">
        <x:v>Institutional catalog</x:v>
      </x:c>
      <x:c r="Y149" t="str">
        <x:v>Prototype iteration demand</x:v>
      </x:c>
      <x:c r="Z149" s="9" t="str">
        <x:v>SYNTHETIC_DEMO</x:v>
      </x:c>
    </x:row>
    <x:row r="150">
      <x:c r="A150" t="str">
        <x:v>SIM-UA-0149</x:v>
      </x:c>
      <x:c r="B150" t="str">
        <x:v>Paper microfluidics (SALSA)</x:v>
      </x:c>
      <x:c r="C150" t="str">
        <x:v>PAP-007</x:v>
      </x:c>
      <x:c r="D150" t="str">
        <x:v>Phosphate-buffered saline</x:v>
      </x:c>
      <x:c r="E150" t="str">
        <x:v>1x PBS, 500 mL</x:v>
      </x:c>
      <x:c r="F150" t="str">
        <x:v>Assay reagents</x:v>
      </x:c>
      <x:c r="G150" t="str">
        <x:v>SUP-02</x:v>
      </x:c>
      <x:c r="H150" t="str">
        <x:v>Desert BioReagents</x:v>
      </x:c>
      <x:c r="I150" s="28" t="n">
        <x:v>45805</x:v>
      </x:c>
      <x:c r="J150" s="28" t="n">
        <x:v>45810</x:v>
      </x:c>
      <x:c r="K150" s="28" t="n">
        <x:v>45813</x:v>
      </x:c>
      <x:c r="L150" s="32" t="n">
        <x:v>2</x:v>
      </x:c>
      <x:c r="M150" t="str">
        <x:v>bottle</x:v>
      </x:c>
      <x:c r="N150" s="30" t="n">
        <x:v>30.04</x:v>
      </x:c>
      <x:c r="O150" s="30" t="n">
        <x:v>12</x:v>
      </x:c>
      <x:c r="P150" s="30" t="n">
        <x:f>L150*N150+O150</x:f>
        <x:v>72.08</x:v>
      </x:c>
      <x:c r="Q150" s="32" t="n">
        <x:f>J150-I150</x:f>
        <x:v>5</x:v>
      </x:c>
      <x:c r="R150" s="32" t="n">
        <x:f>IF(K150="","",K150-I150)</x:f>
        <x:v>8</x:v>
      </x:c>
      <x:c r="S150" s="32" t="n">
        <x:f>IF(K150="","",MAX(0,K150-J150))</x:f>
        <x:v>3</x:v>
      </x:c>
      <x:c r="T150" t="str">
        <x:f>IF(K150="","PENDING",IF(K150&lt;=J150,"ON_TIME","LATE"))</x:f>
        <x:v>LATE</x:v>
      </x:c>
      <x:c r="U150" t="str">
        <x:v>ACCEPTED</x:v>
      </x:c>
      <x:c r="V150" t="str">
        <x:v>MEDIUM</x:v>
      </x:c>
      <x:c r="W150" t="str">
        <x:v>SUP-01</x:v>
      </x:c>
      <x:c r="X150" t="str">
        <x:v>Vendor web</x:v>
      </x:c>
      <x:c r="Y150" t="str">
        <x:v>Experiment schedule-driven reorder</x:v>
      </x:c>
      <x:c r="Z150" s="9" t="str">
        <x:v>SYNTHETIC_DEMO</x:v>
      </x:c>
    </x:row>
    <x:row r="151">
      <x:c r="A151" t="str">
        <x:v>SIM-UA-0150</x:v>
      </x:c>
      <x:c r="B151" t="str">
        <x:v>Smartphone optical readout</x:v>
      </x:c>
      <x:c r="C151" t="str">
        <x:v>IMG-004</x:v>
      </x:c>
      <x:c r="D151" t="str">
        <x:v>Diffuser film</x:v>
      </x:c>
      <x:c r="E151" t="str">
        <x:v>Optical diffusion sheets, 10/pack</x:v>
      </x:c>
      <x:c r="F151" t="str">
        <x:v>Optics &amp; electronics</x:v>
      </x:c>
      <x:c r="G151" t="str">
        <x:v>SUP-06</x:v>
      </x:c>
      <x:c r="H151" t="str">
        <x:v>Southwest Imaging Parts</x:v>
      </x:c>
      <x:c r="I151" s="28" t="n">
        <x:v>45806</x:v>
      </x:c>
      <x:c r="J151" s="28" t="n">
        <x:v>45813</x:v>
      </x:c>
      <x:c r="K151" s="28" t="n">
        <x:v>45813</x:v>
      </x:c>
      <x:c r="L151" s="32" t="n">
        <x:v>1</x:v>
      </x:c>
      <x:c r="M151" t="str">
        <x:v>pack</x:v>
      </x:c>
      <x:c r="N151" s="30" t="n">
        <x:v>45.57</x:v>
      </x:c>
      <x:c r="O151" s="30" t="n">
        <x:v>15</x:v>
      </x:c>
      <x:c r="P151" s="30" t="n">
        <x:f>L151*N151+O151</x:f>
        <x:v>60.57</x:v>
      </x:c>
      <x:c r="Q151" s="32" t="n">
        <x:f>J151-I151</x:f>
        <x:v>7</x:v>
      </x:c>
      <x:c r="R151" s="32" t="n">
        <x:f>IF(K151="","",K151-I151)</x:f>
        <x:v>7</x:v>
      </x:c>
      <x:c r="S151" s="32" t="n">
        <x:f>IF(K151="","",MAX(0,K151-J151))</x:f>
        <x:v>0</x:v>
      </x:c>
      <x:c r="T151" t="str">
        <x:f>IF(K151="","PENDING",IF(K151&lt;=J151,"ON_TIME","LATE"))</x:f>
        <x:v>ON_TIME</x:v>
      </x:c>
      <x:c r="U151" t="str">
        <x:v>ACCEPTED</x:v>
      </x:c>
      <x:c r="V151" t="str">
        <x:v>LOW</x:v>
      </x:c>
      <x:c r="W151" t="str">
        <x:v>SUP-07</x:v>
      </x:c>
      <x:c r="X151" t="str">
        <x:v>Quote-to-PO</x:v>
      </x:c>
      <x:c r="Y151" t="str">
        <x:v>Routine replenishment</x:v>
      </x:c>
      <x:c r="Z151" s="9" t="str">
        <x:v>SYNTHETIC_DEMO</x:v>
      </x:c>
    </x:row>
    <x:row r="152">
      <x:c r="A152" t="str">
        <x:v>SIM-UA-0151</x:v>
      </x:c>
      <x:c r="B152" t="str">
        <x:v>Paper microfluidics (SALSA)</x:v>
      </x:c>
      <x:c r="C152" t="str">
        <x:v>PAP-004</x:v>
      </x:c>
      <x:c r="D152" t="str">
        <x:v>Wax printing consumables</x:v>
      </x:c>
      <x:c r="E152" t="str">
        <x:v>Hydrophobic barrier patterning consumables</x:v>
      </x:c>
      <x:c r="F152" t="str">
        <x:v>Paper &amp; membrane</x:v>
      </x:c>
      <x:c r="G152" t="str">
        <x:v>SUP-03</x:v>
      </x:c>
      <x:c r="H152" t="str">
        <x:v>Catalina Paper &amp; Membrane</x:v>
      </x:c>
      <x:c r="I152" s="28" t="n">
        <x:v>45807</x:v>
      </x:c>
      <x:c r="J152" s="28" t="n">
        <x:v>45815</x:v>
      </x:c>
      <x:c r="K152" s="28" t="n">
        <x:v>45813</x:v>
      </x:c>
      <x:c r="L152" s="32" t="n">
        <x:v>3</x:v>
      </x:c>
      <x:c r="M152" t="str">
        <x:v>set</x:v>
      </x:c>
      <x:c r="N152" s="30" t="n">
        <x:v>89.08</x:v>
      </x:c>
      <x:c r="O152" s="30" t="n">
        <x:v>29</x:v>
      </x:c>
      <x:c r="P152" s="30" t="n">
        <x:f>L152*N152+O152</x:f>
        <x:v>296.24</x:v>
      </x:c>
      <x:c r="Q152" s="32" t="n">
        <x:f>J152-I152</x:f>
        <x:v>8</x:v>
      </x:c>
      <x:c r="R152" s="32" t="n">
        <x:f>IF(K152="","",K152-I152)</x:f>
        <x:v>6</x:v>
      </x:c>
      <x:c r="S152" s="32" t="n">
        <x:f>IF(K152="","",MAX(0,K152-J152))</x:f>
        <x:v>0</x:v>
      </x:c>
      <x:c r="T152" t="str">
        <x:f>IF(K152="","PENDING",IF(K152&lt;=J152,"ON_TIME","LATE"))</x:f>
        <x:v>ON_TIME</x:v>
      </x:c>
      <x:c r="U152" t="str">
        <x:v>ACCEPTED</x:v>
      </x:c>
      <x:c r="V152" t="str">
        <x:v>MEDIUM</x:v>
      </x:c>
      <x:c r="W152" t="str">
        <x:v>SUP-07</x:v>
      </x:c>
      <x:c r="X152" t="str">
        <x:v>Vendor web</x:v>
      </x:c>
      <x:c r="Y152" t="str">
        <x:v>Prototype iteration demand</x:v>
      </x:c>
      <x:c r="Z152" s="9" t="str">
        <x:v>SYNTHETIC_DEMO</x:v>
      </x:c>
    </x:row>
    <x:row r="153">
      <x:c r="A153" t="str">
        <x:v>SIM-UA-0152</x:v>
      </x:c>
      <x:c r="B153" t="str">
        <x:v>IMCD kidney-on-a-chip</x:v>
      </x:c>
      <x:c r="C153" t="str">
        <x:v>OOC-002</x:v>
      </x:c>
      <x:c r="D153" t="str">
        <x:v>Porous membrane film</x:v>
      </x:c>
      <x:c r="E153" t="str">
        <x:v>0.4 µm, microfluidic support membrane</x:v>
      </x:c>
      <x:c r="F153" t="str">
        <x:v>Chip fabrication</x:v>
      </x:c>
      <x:c r="G153" t="str">
        <x:v>SUP-01</x:v>
      </x:c>
      <x:c r="H153" t="str">
        <x:v>Sonoran Scientific Supply</x:v>
      </x:c>
      <x:c r="I153" s="28" t="n">
        <x:v>45808</x:v>
      </x:c>
      <x:c r="J153" s="28" t="n">
        <x:v>45815</x:v>
      </x:c>
      <x:c r="K153" s="28" t="n">
        <x:v>45813</x:v>
      </x:c>
      <x:c r="L153" s="32" t="n">
        <x:v>1</x:v>
      </x:c>
      <x:c r="M153" t="str">
        <x:v>pack</x:v>
      </x:c>
      <x:c r="N153" s="30" t="n">
        <x:v>173.38</x:v>
      </x:c>
      <x:c r="O153" s="30" t="n">
        <x:v>0</x:v>
      </x:c>
      <x:c r="P153" s="30" t="n">
        <x:f>L153*N153+O153</x:f>
        <x:v>173.38</x:v>
      </x:c>
      <x:c r="Q153" s="32" t="n">
        <x:f>J153-I153</x:f>
        <x:v>7</x:v>
      </x:c>
      <x:c r="R153" s="32" t="n">
        <x:f>IF(K153="","",K153-I153)</x:f>
        <x:v>5</x:v>
      </x:c>
      <x:c r="S153" s="32" t="n">
        <x:f>IF(K153="","",MAX(0,K153-J153))</x:f>
        <x:v>0</x:v>
      </x:c>
      <x:c r="T153" t="str">
        <x:f>IF(K153="","PENDING",IF(K153&lt;=J153,"ON_TIME","LATE"))</x:f>
        <x:v>ON_TIME</x:v>
      </x:c>
      <x:c r="U153" t="str">
        <x:v>ACCEPTED</x:v>
      </x:c>
      <x:c r="V153" t="str">
        <x:v>HIGH</x:v>
      </x:c>
      <x:c r="W153" t="str">
        <x:v>SUP-04</x:v>
      </x:c>
      <x:c r="X153" t="str">
        <x:v>Institutional catalog</x:v>
      </x:c>
      <x:c r="Y153" t="str">
        <x:v>Routine replenishment</x:v>
      </x:c>
      <x:c r="Z153" s="9" t="str">
        <x:v>SYNTHETIC_DEMO</x:v>
      </x:c>
    </x:row>
    <x:row r="154">
      <x:c r="A154" t="str">
        <x:v>SIM-UA-0153</x:v>
      </x:c>
      <x:c r="B154" t="str">
        <x:v>Paper microfluidics (SALSA)</x:v>
      </x:c>
      <x:c r="C154" t="str">
        <x:v>PAP-002</x:v>
      </x:c>
      <x:c r="D154" t="str">
        <x:v>Chromatography paper</x:v>
      </x:c>
      <x:c r="E154" t="str">
        <x:v>Grade 1 CHR, 100 sheets</x:v>
      </x:c>
      <x:c r="F154" t="str">
        <x:v>Paper &amp; membrane</x:v>
      </x:c>
      <x:c r="G154" t="str">
        <x:v>SUP-03</x:v>
      </x:c>
      <x:c r="H154" t="str">
        <x:v>Catalina Paper &amp; Membrane</x:v>
      </x:c>
      <x:c r="I154" s="28" t="n">
        <x:v>45808</x:v>
      </x:c>
      <x:c r="J154" s="28" t="n">
        <x:v>45813</x:v>
      </x:c>
      <x:c r="K154" s="28" t="n">
        <x:v>45812</x:v>
      </x:c>
      <x:c r="L154" s="32" t="n">
        <x:v>3</x:v>
      </x:c>
      <x:c r="M154" t="str">
        <x:v>pack</x:v>
      </x:c>
      <x:c r="N154" s="30" t="n">
        <x:v>79.53</x:v>
      </x:c>
      <x:c r="O154" s="30" t="n">
        <x:v>0</x:v>
      </x:c>
      <x:c r="P154" s="30" t="n">
        <x:f>L154*N154+O154</x:f>
        <x:v>238.59</x:v>
      </x:c>
      <x:c r="Q154" s="32" t="n">
        <x:f>J154-I154</x:f>
        <x:v>5</x:v>
      </x:c>
      <x:c r="R154" s="32" t="n">
        <x:f>IF(K154="","",K154-I154)</x:f>
        <x:v>4</x:v>
      </x:c>
      <x:c r="S154" s="32" t="n">
        <x:f>IF(K154="","",MAX(0,K154-J154))</x:f>
        <x:v>0</x:v>
      </x:c>
      <x:c r="T154" t="str">
        <x:f>IF(K154="","PENDING",IF(K154&lt;=J154,"ON_TIME","LATE"))</x:f>
        <x:v>ON_TIME</x:v>
      </x:c>
      <x:c r="U154" t="str">
        <x:v>ACCEPTED</x:v>
      </x:c>
      <x:c r="V154" t="str">
        <x:v>MEDIUM</x:v>
      </x:c>
      <x:c r="W154" t="str">
        <x:v>SUP-01</x:v>
      </x:c>
      <x:c r="X154" t="str">
        <x:v>Quote-to-PO</x:v>
      </x:c>
      <x:c r="Y154" t="str"/>
      <x:c r="Z154" s="9" t="str">
        <x:v>SYNTHETIC_DEMO</x:v>
      </x:c>
    </x:row>
    <x:row r="155">
      <x:c r="A155" t="str">
        <x:v>SIM-UA-0154</x:v>
      </x:c>
      <x:c r="B155" t="str">
        <x:v>Smartphone optical readout</x:v>
      </x:c>
      <x:c r="C155" t="str">
        <x:v>IMG-003</x:v>
      </x:c>
      <x:c r="D155" t="str">
        <x:v>Calibration color target</x:v>
      </x:c>
      <x:c r="E155" t="str">
        <x:v>Color/gray reference card, small format</x:v>
      </x:c>
      <x:c r="F155" t="str">
        <x:v>Optics &amp; electronics</x:v>
      </x:c>
      <x:c r="G155" t="str">
        <x:v>SUP-07</x:v>
      </x:c>
      <x:c r="H155" t="str">
        <x:v>RapidLab Alternate Source</x:v>
      </x:c>
      <x:c r="I155" s="28" t="n">
        <x:v>45808</x:v>
      </x:c>
      <x:c r="J155" s="28" t="n">
        <x:v>45813</x:v>
      </x:c>
      <x:c r="K155" s="28" t="n">
        <x:v>45813</x:v>
      </x:c>
      <x:c r="L155" s="32" t="n">
        <x:v>3</x:v>
      </x:c>
      <x:c r="M155" t="str">
        <x:v>unit</x:v>
      </x:c>
      <x:c r="N155" s="30" t="n">
        <x:v>58.97</x:v>
      </x:c>
      <x:c r="O155" s="30" t="n">
        <x:v>15</x:v>
      </x:c>
      <x:c r="P155" s="30" t="n">
        <x:f>L155*N155+O155</x:f>
        <x:v>191.91</x:v>
      </x:c>
      <x:c r="Q155" s="32" t="n">
        <x:f>J155-I155</x:f>
        <x:v>5</x:v>
      </x:c>
      <x:c r="R155" s="32" t="n">
        <x:f>IF(K155="","",K155-I155)</x:f>
        <x:v>5</x:v>
      </x:c>
      <x:c r="S155" s="32" t="n">
        <x:f>IF(K155="","",MAX(0,K155-J155))</x:f>
        <x:v>0</x:v>
      </x:c>
      <x:c r="T155" t="str">
        <x:f>IF(K155="","PENDING",IF(K155&lt;=J155,"ON_TIME","LATE"))</x:f>
        <x:v>ON_TIME</x:v>
      </x:c>
      <x:c r="U155" t="str">
        <x:v>ACCEPTED</x:v>
      </x:c>
      <x:c r="V155" t="str">
        <x:v>MEDIUM</x:v>
      </x:c>
      <x:c r="W155" t="str">
        <x:v>SUP-06</x:v>
      </x:c>
      <x:c r="X155" t="str">
        <x:v>Quote-to-PO</x:v>
      </x:c>
      <x:c r="Y155" t="str">
        <x:v>Routine replenishment</x:v>
      </x:c>
      <x:c r="Z155" s="9" t="str">
        <x:v>SYNTHETIC_DEMO</x:v>
      </x:c>
    </x:row>
    <x:row r="156">
      <x:c r="A156" t="str">
        <x:v>SIM-UA-0155</x:v>
      </x:c>
      <x:c r="B156" t="str">
        <x:v>IMCD kidney-on-a-chip</x:v>
      </x:c>
      <x:c r="C156" t="str">
        <x:v>OOC-012</x:v>
      </x:c>
      <x:c r="D156" t="str">
        <x:v>Trypsin-EDTA</x:v>
      </x:c>
      <x:c r="E156" t="str">
        <x:v>100 mL, cell dissociation</x:v>
      </x:c>
      <x:c r="F156" t="str">
        <x:v>Cell culture</x:v>
      </x:c>
      <x:c r="G156" t="str">
        <x:v>SUP-01</x:v>
      </x:c>
      <x:c r="H156" t="str">
        <x:v>Sonoran Scientific Supply</x:v>
      </x:c>
      <x:c r="I156" s="28" t="n">
        <x:v>45809</x:v>
      </x:c>
      <x:c r="J156" s="28" t="n">
        <x:v>45818</x:v>
      </x:c>
      <x:c r="K156" s="28" t="n">
        <x:v>45816</x:v>
      </x:c>
      <x:c r="L156" s="32" t="n">
        <x:v>1</x:v>
      </x:c>
      <x:c r="M156" t="str">
        <x:v>bottle</x:v>
      </x:c>
      <x:c r="N156" s="30" t="n">
        <x:v>31.68</x:v>
      </x:c>
      <x:c r="O156" s="30" t="n">
        <x:v>8.5</x:v>
      </x:c>
      <x:c r="P156" s="30" t="n">
        <x:f>L156*N156+O156</x:f>
        <x:v>40.18</x:v>
      </x:c>
      <x:c r="Q156" s="32" t="n">
        <x:f>J156-I156</x:f>
        <x:v>9</x:v>
      </x:c>
      <x:c r="R156" s="32" t="n">
        <x:f>IF(K156="","",K156-I156)</x:f>
        <x:v>7</x:v>
      </x:c>
      <x:c r="S156" s="32" t="n">
        <x:f>IF(K156="","",MAX(0,K156-J156))</x:f>
        <x:v>0</x:v>
      </x:c>
      <x:c r="T156" t="str">
        <x:f>IF(K156="","PENDING",IF(K156&lt;=J156,"ON_TIME","LATE"))</x:f>
        <x:v>ON_TIME</x:v>
      </x:c>
      <x:c r="U156" t="str">
        <x:v>ACCEPTED</x:v>
      </x:c>
      <x:c r="V156" t="str">
        <x:v>MEDIUM</x:v>
      </x:c>
      <x:c r="W156" t="str">
        <x:v>SUP-02</x:v>
      </x:c>
      <x:c r="X156" t="str">
        <x:v>Quote-to-PO</x:v>
      </x:c>
      <x:c r="Y156" t="str">
        <x:v>Routine replenishment</x:v>
      </x:c>
      <x:c r="Z156" s="9" t="str">
        <x:v>SYNTHETIC_DEMO</x:v>
      </x:c>
    </x:row>
    <x:row r="157">
      <x:c r="A157" t="str">
        <x:v>SIM-UA-0156</x:v>
      </x:c>
      <x:c r="B157" t="str">
        <x:v>Paper microfluidics (SALSA)</x:v>
      </x:c>
      <x:c r="C157" t="str">
        <x:v>PAP-011</x:v>
      </x:c>
      <x:c r="D157" t="str">
        <x:v>Microcentrifuge tubes</x:v>
      </x:c>
      <x:c r="E157" t="str">
        <x:v>1.5 mL, 500/pack</x:v>
      </x:c>
      <x:c r="F157" t="str">
        <x:v>Assay reagents</x:v>
      </x:c>
      <x:c r="G157" t="str">
        <x:v>SUP-07</x:v>
      </x:c>
      <x:c r="H157" t="str">
        <x:v>RapidLab Alternate Source</x:v>
      </x:c>
      <x:c r="I157" s="28" t="n">
        <x:v>45813</x:v>
      </x:c>
      <x:c r="J157" s="28" t="n">
        <x:v>45816</x:v>
      </x:c>
      <x:c r="K157" s="28" t="n">
        <x:v>45815</x:v>
      </x:c>
      <x:c r="L157" s="32" t="n">
        <x:v>2</x:v>
      </x:c>
      <x:c r="M157" t="str">
        <x:v>pack</x:v>
      </x:c>
      <x:c r="N157" s="30" t="n">
        <x:v>36.49</x:v>
      </x:c>
      <x:c r="O157" s="30" t="n">
        <x:v>12</x:v>
      </x:c>
      <x:c r="P157" s="30" t="n">
        <x:f>L157*N157+O157</x:f>
        <x:v>84.98</x:v>
      </x:c>
      <x:c r="Q157" s="32" t="n">
        <x:f>J157-I157</x:f>
        <x:v>3</x:v>
      </x:c>
      <x:c r="R157" s="32" t="n">
        <x:f>IF(K157="","",K157-I157)</x:f>
        <x:v>2</x:v>
      </x:c>
      <x:c r="S157" s="32" t="n">
        <x:f>IF(K157="","",MAX(0,K157-J157))</x:f>
        <x:v>0</x:v>
      </x:c>
      <x:c r="T157" t="str">
        <x:f>IF(K157="","PENDING",IF(K157&lt;=J157,"ON_TIME","LATE"))</x:f>
        <x:v>ON_TIME</x:v>
      </x:c>
      <x:c r="U157" t="str">
        <x:v>ACCEPTED</x:v>
      </x:c>
      <x:c r="V157" t="str">
        <x:v>LOW</x:v>
      </x:c>
      <x:c r="W157" t="str">
        <x:v>SUP-01</x:v>
      </x:c>
      <x:c r="X157" t="str">
        <x:v>Quote-to-PO</x:v>
      </x:c>
      <x:c r="Y157" t="str">
        <x:v>Routine replenishment</x:v>
      </x:c>
      <x:c r="Z157" s="9" t="str">
        <x:v>SYNTHETIC_DEMO</x:v>
      </x:c>
    </x:row>
    <x:row r="158">
      <x:c r="A158" t="str">
        <x:v>SIM-UA-0157</x:v>
      </x:c>
      <x:c r="B158" t="str">
        <x:v>Paper microfluidics (SALSA)</x:v>
      </x:c>
      <x:c r="C158" t="str">
        <x:v>PAP-006</x:v>
      </x:c>
      <x:c r="D158" t="str">
        <x:v>Double-sided adhesive film</x:v>
      </x:c>
      <x:c r="E158" t="str">
        <x:v>Medical/optical grade, 50 sheets</x:v>
      </x:c>
      <x:c r="F158" t="str">
        <x:v>Paper &amp; membrane</x:v>
      </x:c>
      <x:c r="G158" t="str">
        <x:v>SUP-07</x:v>
      </x:c>
      <x:c r="H158" t="str">
        <x:v>RapidLab Alternate Source</x:v>
      </x:c>
      <x:c r="I158" s="28" t="n">
        <x:v>45814</x:v>
      </x:c>
      <x:c r="J158" s="28" t="n">
        <x:v>45818</x:v>
      </x:c>
      <x:c r="K158" s="28" t="n">
        <x:v>45818</x:v>
      </x:c>
      <x:c r="L158" s="32" t="n">
        <x:v>1</x:v>
      </x:c>
      <x:c r="M158" t="str">
        <x:v>pack</x:v>
      </x:c>
      <x:c r="N158" s="30" t="n">
        <x:v>100.06</x:v>
      </x:c>
      <x:c r="O158" s="30" t="n">
        <x:v>15</x:v>
      </x:c>
      <x:c r="P158" s="30" t="n">
        <x:f>L158*N158+O158</x:f>
        <x:v>115.06</x:v>
      </x:c>
      <x:c r="Q158" s="32" t="n">
        <x:f>J158-I158</x:f>
        <x:v>4</x:v>
      </x:c>
      <x:c r="R158" s="32" t="n">
        <x:f>IF(K158="","",K158-I158)</x:f>
        <x:v>4</x:v>
      </x:c>
      <x:c r="S158" s="32" t="n">
        <x:f>IF(K158="","",MAX(0,K158-J158))</x:f>
        <x:v>0</x:v>
      </x:c>
      <x:c r="T158" t="str">
        <x:f>IF(K158="","PENDING",IF(K158&lt;=J158,"ON_TIME","LATE"))</x:f>
        <x:v>ON_TIME</x:v>
      </x:c>
      <x:c r="U158" t="str">
        <x:v>ACCEPTED</x:v>
      </x:c>
      <x:c r="V158" t="str">
        <x:v>MEDIUM</x:v>
      </x:c>
      <x:c r="W158" t="str">
        <x:v>SUP-03</x:v>
      </x:c>
      <x:c r="X158" t="str">
        <x:v>Quote-to-PO</x:v>
      </x:c>
      <x:c r="Y158" t="str">
        <x:v>Prototype iteration demand</x:v>
      </x:c>
      <x:c r="Z158" s="9" t="str">
        <x:v>SYNTHETIC_DEMO</x:v>
      </x:c>
    </x:row>
    <x:row r="159">
      <x:c r="A159" t="str">
        <x:v>SIM-UA-0158</x:v>
      </x:c>
      <x:c r="B159" t="str">
        <x:v>IMCD kidney-on-a-chip</x:v>
      </x:c>
      <x:c r="C159" t="str">
        <x:v>OOC-013</x:v>
      </x:c>
      <x:c r="D159" t="str">
        <x:v>Collagen coating solution</x:v>
      </x:c>
      <x:c r="E159" t="str">
        <x:v>Cell adhesion coating, 20 mL</x:v>
      </x:c>
      <x:c r="F159" t="str">
        <x:v>Cell culture</x:v>
      </x:c>
      <x:c r="G159" t="str">
        <x:v>SUP-02</x:v>
      </x:c>
      <x:c r="H159" t="str">
        <x:v>Desert BioReagents</x:v>
      </x:c>
      <x:c r="I159" s="28" t="n">
        <x:v>45816</x:v>
      </x:c>
      <x:c r="J159" s="28" t="n">
        <x:v>45819</x:v>
      </x:c>
      <x:c r="K159" s="28" t="n">
        <x:v>45826</x:v>
      </x:c>
      <x:c r="L159" s="32" t="n">
        <x:v>2</x:v>
      </x:c>
      <x:c r="M159" t="str">
        <x:v>bottle</x:v>
      </x:c>
      <x:c r="N159" s="30" t="n">
        <x:v>116.79</x:v>
      </x:c>
      <x:c r="O159" s="30" t="n">
        <x:v>0</x:v>
      </x:c>
      <x:c r="P159" s="30" t="n">
        <x:f>L159*N159+O159</x:f>
        <x:v>233.58</x:v>
      </x:c>
      <x:c r="Q159" s="32" t="n">
        <x:f>J159-I159</x:f>
        <x:v>3</x:v>
      </x:c>
      <x:c r="R159" s="32" t="n">
        <x:f>IF(K159="","",K159-I159)</x:f>
        <x:v>10</x:v>
      </x:c>
      <x:c r="S159" s="32" t="n">
        <x:f>IF(K159="","",MAX(0,K159-J159))</x:f>
        <x:v>7</x:v>
      </x:c>
      <x:c r="T159" t="str">
        <x:f>IF(K159="","PENDING",IF(K159&lt;=J159,"ON_TIME","LATE"))</x:f>
        <x:v>LATE</x:v>
      </x:c>
      <x:c r="U159" t="str">
        <x:v>ACCEPTED</x:v>
      </x:c>
      <x:c r="V159" t="str">
        <x:v>HIGH</x:v>
      </x:c>
      <x:c r="W159" t="str">
        <x:v>SUP-01</x:v>
      </x:c>
      <x:c r="X159" t="str">
        <x:v>Quote-to-PO</x:v>
      </x:c>
      <x:c r="Y159" t="str">
        <x:v>Illustrative delivery delay; review alternate sourcing</x:v>
      </x:c>
      <x:c r="Z159" s="9" t="str">
        <x:v>SYNTHETIC_DEMO</x:v>
      </x:c>
    </x:row>
    <x:row r="160">
      <x:c r="A160" t="str">
        <x:v>SIM-UA-0159</x:v>
      </x:c>
      <x:c r="B160" t="str">
        <x:v>IMCD kidney-on-a-chip</x:v>
      </x:c>
      <x:c r="C160" t="str">
        <x:v>OOC-007</x:v>
      </x:c>
      <x:c r="D160" t="str">
        <x:v>Sterile syringes</x:v>
      </x:c>
      <x:c r="E160" t="str">
        <x:v>10 mL, 100/box</x:v>
      </x:c>
      <x:c r="F160" t="str">
        <x:v>Fluidics hardware</x:v>
      </x:c>
      <x:c r="G160" t="str">
        <x:v>SUP-05</x:v>
      </x:c>
      <x:c r="H160" t="str">
        <x:v>Tucson Fluidics Components</x:v>
      </x:c>
      <x:c r="I160" s="28" t="n">
        <x:v>45816</x:v>
      </x:c>
      <x:c r="J160" s="28" t="n">
        <x:v>45822</x:v>
      </x:c>
      <x:c r="K160" s="28" t="n">
        <x:v>45822</x:v>
      </x:c>
      <x:c r="L160" s="32" t="n">
        <x:v>1</x:v>
      </x:c>
      <x:c r="M160" t="str">
        <x:v>box</x:v>
      </x:c>
      <x:c r="N160" s="30" t="n">
        <x:v>74.75</x:v>
      </x:c>
      <x:c r="O160" s="30" t="n">
        <x:v>29</x:v>
      </x:c>
      <x:c r="P160" s="30" t="n">
        <x:f>L160*N160+O160</x:f>
        <x:v>103.75</x:v>
      </x:c>
      <x:c r="Q160" s="32" t="n">
        <x:f>J160-I160</x:f>
        <x:v>6</x:v>
      </x:c>
      <x:c r="R160" s="32" t="n">
        <x:f>IF(K160="","",K160-I160)</x:f>
        <x:v>6</x:v>
      </x:c>
      <x:c r="S160" s="32" t="n">
        <x:f>IF(K160="","",MAX(0,K160-J160))</x:f>
        <x:v>0</x:v>
      </x:c>
      <x:c r="T160" t="str">
        <x:f>IF(K160="","PENDING",IF(K160&lt;=J160,"ON_TIME","LATE"))</x:f>
        <x:v>ON_TIME</x:v>
      </x:c>
      <x:c r="U160" t="str">
        <x:v>ACCEPTED</x:v>
      </x:c>
      <x:c r="V160" t="str">
        <x:v>MEDIUM</x:v>
      </x:c>
      <x:c r="W160" t="str">
        <x:v>SUP-01</x:v>
      </x:c>
      <x:c r="X160" t="str">
        <x:v>Quote-to-PO</x:v>
      </x:c>
      <x:c r="Y160" t="str">
        <x:v>Routine replenishment</x:v>
      </x:c>
      <x:c r="Z160" s="9" t="str">
        <x:v>SYNTHETIC_DEMO</x:v>
      </x:c>
    </x:row>
    <x:row r="161">
      <x:c r="A161" t="str">
        <x:v>SIM-UA-0160</x:v>
      </x:c>
      <x:c r="B161" t="str">
        <x:v>IMCD kidney-on-a-chip</x:v>
      </x:c>
      <x:c r="C161" t="str">
        <x:v>OOC-006</x:v>
      </x:c>
      <x:c r="D161" t="str">
        <x:v>Luer-lock connectors</x:v>
      </x:c>
      <x:c r="E161" t="str">
        <x:v>Male/female assorted, 25/pack</x:v>
      </x:c>
      <x:c r="F161" t="str">
        <x:v>Fluidics hardware</x:v>
      </x:c>
      <x:c r="G161" t="str">
        <x:v>SUP-07</x:v>
      </x:c>
      <x:c r="H161" t="str">
        <x:v>RapidLab Alternate Source</x:v>
      </x:c>
      <x:c r="I161" s="28" t="n">
        <x:v>45816</x:v>
      </x:c>
      <x:c r="J161" s="28" t="n">
        <x:v>45821</x:v>
      </x:c>
      <x:c r="K161" s="28" t="n">
        <x:v>45821</x:v>
      </x:c>
      <x:c r="L161" s="32" t="n">
        <x:v>2</x:v>
      </x:c>
      <x:c r="M161" t="str">
        <x:v>pack</x:v>
      </x:c>
      <x:c r="N161" s="30" t="n">
        <x:v>63.53</x:v>
      </x:c>
      <x:c r="O161" s="30" t="n">
        <x:v>29</x:v>
      </x:c>
      <x:c r="P161" s="30" t="n">
        <x:f>L161*N161+O161</x:f>
        <x:v>156.06</x:v>
      </x:c>
      <x:c r="Q161" s="32" t="n">
        <x:f>J161-I161</x:f>
        <x:v>5</x:v>
      </x:c>
      <x:c r="R161" s="32" t="n">
        <x:f>IF(K161="","",K161-I161)</x:f>
        <x:v>5</x:v>
      </x:c>
      <x:c r="S161" s="32" t="n">
        <x:f>IF(K161="","",MAX(0,K161-J161))</x:f>
        <x:v>0</x:v>
      </x:c>
      <x:c r="T161" t="str">
        <x:f>IF(K161="","PENDING",IF(K161&lt;=J161,"ON_TIME","LATE"))</x:f>
        <x:v>ON_TIME</x:v>
      </x:c>
      <x:c r="U161" t="str">
        <x:v>ACCEPTED</x:v>
      </x:c>
      <x:c r="V161" t="str">
        <x:v>HIGH</x:v>
      </x:c>
      <x:c r="W161" t="str">
        <x:v>SUP-05</x:v>
      </x:c>
      <x:c r="X161" t="str">
        <x:v>Quote-to-PO</x:v>
      </x:c>
      <x:c r="Y161" t="str"/>
      <x:c r="Z161" s="9" t="str">
        <x:v>SYNTHETIC_DEMO</x:v>
      </x:c>
    </x:row>
    <x:row r="162">
      <x:c r="A162" t="str">
        <x:v>SIM-UA-0161</x:v>
      </x:c>
      <x:c r="B162" t="str">
        <x:v>IMCD kidney-on-a-chip</x:v>
      </x:c>
      <x:c r="C162" t="str">
        <x:v>OOC-009</x:v>
      </x:c>
      <x:c r="D162" t="str">
        <x:v>DMEM/F-12 medium</x:v>
      </x:c>
      <x:c r="E162" t="str">
        <x:v>500 mL, sterile cell culture medium</x:v>
      </x:c>
      <x:c r="F162" t="str">
        <x:v>Cell culture</x:v>
      </x:c>
      <x:c r="G162" t="str">
        <x:v>SUP-01</x:v>
      </x:c>
      <x:c r="H162" t="str">
        <x:v>Sonoran Scientific Supply</x:v>
      </x:c>
      <x:c r="I162" s="28" t="n">
        <x:v>45818</x:v>
      </x:c>
      <x:c r="J162" s="28" t="n">
        <x:v>45823</x:v>
      </x:c>
      <x:c r="K162" s="28" t="n">
        <x:v>45823</x:v>
      </x:c>
      <x:c r="L162" s="32" t="n">
        <x:v>4</x:v>
      </x:c>
      <x:c r="M162" t="str">
        <x:v>bottle</x:v>
      </x:c>
      <x:c r="N162" s="30" t="n">
        <x:v>43.48</x:v>
      </x:c>
      <x:c r="O162" s="30" t="n">
        <x:v>0</x:v>
      </x:c>
      <x:c r="P162" s="30" t="n">
        <x:f>L162*N162+O162</x:f>
        <x:v>173.92</x:v>
      </x:c>
      <x:c r="Q162" s="32" t="n">
        <x:f>J162-I162</x:f>
        <x:v>5</x:v>
      </x:c>
      <x:c r="R162" s="32" t="n">
        <x:f>IF(K162="","",K162-I162)</x:f>
        <x:v>5</x:v>
      </x:c>
      <x:c r="S162" s="32" t="n">
        <x:f>IF(K162="","",MAX(0,K162-J162))</x:f>
        <x:v>0</x:v>
      </x:c>
      <x:c r="T162" t="str">
        <x:f>IF(K162="","PENDING",IF(K162&lt;=J162,"ON_TIME","LATE"))</x:f>
        <x:v>ON_TIME</x:v>
      </x:c>
      <x:c r="U162" t="str">
        <x:v>ACCEPTED</x:v>
      </x:c>
      <x:c r="V162" t="str">
        <x:v>HIGH</x:v>
      </x:c>
      <x:c r="W162" t="str">
        <x:v>SUP-02</x:v>
      </x:c>
      <x:c r="X162" t="str">
        <x:v>Institutional catalog</x:v>
      </x:c>
      <x:c r="Y162" t="str">
        <x:v>Experiment schedule-driven reorder</x:v>
      </x:c>
      <x:c r="Z162" s="9" t="str">
        <x:v>SYNTHETIC_DEMO</x:v>
      </x:c>
    </x:row>
    <x:row r="163">
      <x:c r="A163" t="str">
        <x:v>SIM-UA-0162</x:v>
      </x:c>
      <x:c r="B163" t="str">
        <x:v>Paper microfluidics (SALSA)</x:v>
      </x:c>
      <x:c r="C163" t="str">
        <x:v>PAP-005</x:v>
      </x:c>
      <x:c r="D163" t="str">
        <x:v>Polyester laminating film</x:v>
      </x:c>
      <x:c r="E163" t="str">
        <x:v>A4 format, 100 sheets</x:v>
      </x:c>
      <x:c r="F163" t="str">
        <x:v>Paper &amp; membrane</x:v>
      </x:c>
      <x:c r="G163" t="str">
        <x:v>SUP-07</x:v>
      </x:c>
      <x:c r="H163" t="str">
        <x:v>RapidLab Alternate Source</x:v>
      </x:c>
      <x:c r="I163" s="28" t="n">
        <x:v>45820</x:v>
      </x:c>
      <x:c r="J163" s="28" t="n">
        <x:v>45822</x:v>
      </x:c>
      <x:c r="K163" s="28" t="n">
        <x:v>45822</x:v>
      </x:c>
      <x:c r="L163" s="32" t="n">
        <x:v>1</x:v>
      </x:c>
      <x:c r="M163" t="str">
        <x:v>pack</x:v>
      </x:c>
      <x:c r="N163" s="30" t="n">
        <x:v>29.07</x:v>
      </x:c>
      <x:c r="O163" s="30" t="n">
        <x:v>0</x:v>
      </x:c>
      <x:c r="P163" s="30" t="n">
        <x:f>L163*N163+O163</x:f>
        <x:v>29.07</x:v>
      </x:c>
      <x:c r="Q163" s="32" t="n">
        <x:f>J163-I163</x:f>
        <x:v>2</x:v>
      </x:c>
      <x:c r="R163" s="32" t="n">
        <x:f>IF(K163="","",K163-I163)</x:f>
        <x:v>2</x:v>
      </x:c>
      <x:c r="S163" s="32" t="n">
        <x:f>IF(K163="","",MAX(0,K163-J163))</x:f>
        <x:v>0</x:v>
      </x:c>
      <x:c r="T163" t="str">
        <x:f>IF(K163="","PENDING",IF(K163&lt;=J163,"ON_TIME","LATE"))</x:f>
        <x:v>ON_TIME</x:v>
      </x:c>
      <x:c r="U163" t="str">
        <x:v>ACCEPTED</x:v>
      </x:c>
      <x:c r="V163" t="str">
        <x:v>LOW</x:v>
      </x:c>
      <x:c r="W163" t="str">
        <x:v>SUP-03</x:v>
      </x:c>
      <x:c r="X163" t="str">
        <x:v>Institutional catalog</x:v>
      </x:c>
      <x:c r="Y163" t="str">
        <x:v>Routine replenishment</x:v>
      </x:c>
      <x:c r="Z163" s="9" t="str">
        <x:v>SYNTHETIC_DEMO</x:v>
      </x:c>
    </x:row>
    <x:row r="164">
      <x:c r="A164" t="str">
        <x:v>SIM-UA-0163</x:v>
      </x:c>
      <x:c r="B164" t="str">
        <x:v>Paper microfluidics (SALSA)</x:v>
      </x:c>
      <x:c r="C164" t="str">
        <x:v>PAP-007</x:v>
      </x:c>
      <x:c r="D164" t="str">
        <x:v>Phosphate-buffered saline</x:v>
      </x:c>
      <x:c r="E164" t="str">
        <x:v>1x PBS, 500 mL</x:v>
      </x:c>
      <x:c r="F164" t="str">
        <x:v>Assay reagents</x:v>
      </x:c>
      <x:c r="G164" t="str">
        <x:v>SUP-01</x:v>
      </x:c>
      <x:c r="H164" t="str">
        <x:v>Sonoran Scientific Supply</x:v>
      </x:c>
      <x:c r="I164" s="28" t="n">
        <x:v>45821</x:v>
      </x:c>
      <x:c r="J164" s="28" t="n">
        <x:v>45826</x:v>
      </x:c>
      <x:c r="K164" s="28" t="n">
        <x:v>45826</x:v>
      </x:c>
      <x:c r="L164" s="32" t="n">
        <x:v>1</x:v>
      </x:c>
      <x:c r="M164" t="str">
        <x:v>bottle</x:v>
      </x:c>
      <x:c r="N164" s="30" t="n">
        <x:v>28.18</x:v>
      </x:c>
      <x:c r="O164" s="30" t="n">
        <x:v>29</x:v>
      </x:c>
      <x:c r="P164" s="30" t="n">
        <x:f>L164*N164+O164</x:f>
        <x:v>57.18</x:v>
      </x:c>
      <x:c r="Q164" s="32" t="n">
        <x:f>J164-I164</x:f>
        <x:v>5</x:v>
      </x:c>
      <x:c r="R164" s="32" t="n">
        <x:f>IF(K164="","",K164-I164)</x:f>
        <x:v>5</x:v>
      </x:c>
      <x:c r="S164" s="32" t="n">
        <x:f>IF(K164="","",MAX(0,K164-J164))</x:f>
        <x:v>0</x:v>
      </x:c>
      <x:c r="T164" t="str">
        <x:f>IF(K164="","PENDING",IF(K164&lt;=J164,"ON_TIME","LATE"))</x:f>
        <x:v>ON_TIME</x:v>
      </x:c>
      <x:c r="U164" t="str">
        <x:v>ACCEPTED</x:v>
      </x:c>
      <x:c r="V164" t="str">
        <x:v>MEDIUM</x:v>
      </x:c>
      <x:c r="W164" t="str">
        <x:v>SUP-02</x:v>
      </x:c>
      <x:c r="X164" t="str">
        <x:v>Quote-to-PO</x:v>
      </x:c>
      <x:c r="Y164" t="str">
        <x:v>Prototype iteration demand</x:v>
      </x:c>
      <x:c r="Z164" s="9" t="str">
        <x:v>SYNTHETIC_DEMO</x:v>
      </x:c>
    </x:row>
    <x:row r="165">
      <x:c r="A165" t="str">
        <x:v>SIM-UA-0164</x:v>
      </x:c>
      <x:c r="B165" t="str">
        <x:v>IMCD kidney-on-a-chip</x:v>
      </x:c>
      <x:c r="C165" t="str">
        <x:v>OOC-010</x:v>
      </x:c>
      <x:c r="D165" t="str">
        <x:v>Fetal bovine serum</x:v>
      </x:c>
      <x:c r="E165" t="str">
        <x:v>500 mL, cell culture grade</x:v>
      </x:c>
      <x:c r="F165" t="str">
        <x:v>Cell culture</x:v>
      </x:c>
      <x:c r="G165" t="str">
        <x:v>SUP-01</x:v>
      </x:c>
      <x:c r="H165" t="str">
        <x:v>Sonoran Scientific Supply</x:v>
      </x:c>
      <x:c r="I165" s="28" t="n">
        <x:v>45823</x:v>
      </x:c>
      <x:c r="J165" s="28" t="n">
        <x:v>45827</x:v>
      </x:c>
      <x:c r="K165" s="28" t="n">
        <x:v>45825</x:v>
      </x:c>
      <x:c r="L165" s="32" t="n">
        <x:v>1</x:v>
      </x:c>
      <x:c r="M165" t="str">
        <x:v>bottle</x:v>
      </x:c>
      <x:c r="N165" s="30" t="n">
        <x:v>433.71</x:v>
      </x:c>
      <x:c r="O165" s="30" t="n">
        <x:v>15</x:v>
      </x:c>
      <x:c r="P165" s="30" t="n">
        <x:f>L165*N165+O165</x:f>
        <x:v>448.71</x:v>
      </x:c>
      <x:c r="Q165" s="32" t="n">
        <x:f>J165-I165</x:f>
        <x:v>4</x:v>
      </x:c>
      <x:c r="R165" s="32" t="n">
        <x:f>IF(K165="","",K165-I165)</x:f>
        <x:v>2</x:v>
      </x:c>
      <x:c r="S165" s="32" t="n">
        <x:f>IF(K165="","",MAX(0,K165-J165))</x:f>
        <x:v>0</x:v>
      </x:c>
      <x:c r="T165" t="str">
        <x:f>IF(K165="","PENDING",IF(K165&lt;=J165,"ON_TIME","LATE"))</x:f>
        <x:v>ON_TIME</x:v>
      </x:c>
      <x:c r="U165" t="str">
        <x:v>ACCEPTED</x:v>
      </x:c>
      <x:c r="V165" t="str">
        <x:v>HIGH</x:v>
      </x:c>
      <x:c r="W165" t="str">
        <x:v>SUP-02</x:v>
      </x:c>
      <x:c r="X165" t="str">
        <x:v>Vendor web</x:v>
      </x:c>
      <x:c r="Y165" t="str"/>
      <x:c r="Z165" s="9" t="str">
        <x:v>SYNTHETIC_DEMO</x:v>
      </x:c>
    </x:row>
    <x:row r="166">
      <x:c r="A166" t="str">
        <x:v>SIM-UA-0165</x:v>
      </x:c>
      <x:c r="B166" t="str">
        <x:v>Paper microfluidics (SALSA)</x:v>
      </x:c>
      <x:c r="C166" t="str">
        <x:v>PAP-003</x:v>
      </x:c>
      <x:c r="D166" t="str">
        <x:v>Nitrocellulose membrane</x:v>
      </x:c>
      <x:c r="E166" t="str">
        <x:v>0.45 µm, sheets, 25/pack</x:v>
      </x:c>
      <x:c r="F166" t="str">
        <x:v>Paper &amp; membrane</x:v>
      </x:c>
      <x:c r="G166" t="str">
        <x:v>SUP-03</x:v>
      </x:c>
      <x:c r="H166" t="str">
        <x:v>Catalina Paper &amp; Membrane</x:v>
      </x:c>
      <x:c r="I166" s="28" t="n">
        <x:v>45823</x:v>
      </x:c>
      <x:c r="J166" s="28" t="n">
        <x:v>45832</x:v>
      </x:c>
      <x:c r="K166" s="28"/>
      <x:c r="L166" s="32" t="n">
        <x:v>1</x:v>
      </x:c>
      <x:c r="M166" t="str">
        <x:v>pack</x:v>
      </x:c>
      <x:c r="N166" s="30" t="n">
        <x:v>152.48</x:v>
      </x:c>
      <x:c r="O166" s="30" t="n">
        <x:v>29</x:v>
      </x:c>
      <x:c r="P166" s="30" t="n">
        <x:f>L166*N166+O166</x:f>
        <x:v>181.48</x:v>
      </x:c>
      <x:c r="Q166" s="32" t="n">
        <x:f>J166-I166</x:f>
        <x:v>9</x:v>
      </x:c>
      <x:c r="R166" s="32" t="str">
        <x:f>IF(K166="","",K166-I166)</x:f>
      </x:c>
      <x:c r="S166" s="32" t="str">
        <x:f>IF(K166="","",MAX(0,K166-J166))</x:f>
      </x:c>
      <x:c r="T166" t="str">
        <x:f>IF(K166="","PENDING",IF(K166&lt;=J166,"ON_TIME","LATE"))</x:f>
        <x:v>PENDING</x:v>
      </x:c>
      <x:c r="U166" t="str">
        <x:v>PENDING</x:v>
      </x:c>
      <x:c r="V166" t="str">
        <x:v>HIGH</x:v>
      </x:c>
      <x:c r="W166" t="str">
        <x:v>SUP-01</x:v>
      </x:c>
      <x:c r="X166" t="str">
        <x:v>Quote-to-PO</x:v>
      </x:c>
      <x:c r="Y166" t="str">
        <x:v>Open PO at simulation snapshot date (2025-06-23)</x:v>
      </x:c>
      <x:c r="Z166" s="9" t="str">
        <x:v>SYNTHETIC_DEMO</x:v>
      </x:c>
    </x:row>
  </x:sheetData>
  <x:conditionalFormatting sqref="S2:S166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7049202faa45d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21" hidden="0" customWidth="1"/>
    <x:col min="4" max="4" width="28" hidden="0" customWidth="1"/>
    <x:col min="5" max="5" width="46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9" hidden="0" customWidth="1"/>
    <x:col min="11" max="11" width="19" hidden="0" customWidth="1"/>
  </x:cols>
  <x:sheetData>
    <x:row r="1" ht="32" customHeight="1">
      <x:c r="A1" s="17" t="str">
        <x:v>Item_Code</x:v>
      </x:c>
      <x:c r="B1" s="17" t="str">
        <x:v>Project</x:v>
      </x:c>
      <x:c r="C1" s="17" t="str">
        <x:v>Category</x:v>
      </x:c>
      <x:c r="D1" s="17" t="str">
        <x:v>Item_Name</x:v>
      </x:c>
      <x:c r="E1" s="17" t="str">
        <x:v>Specification</x:v>
      </x:c>
      <x:c r="F1" s="17" t="str">
        <x:v>UOM</x:v>
      </x:c>
      <x:c r="G1" s="17" t="str">
        <x:v>Base_Unit_USD_DEMO</x:v>
      </x:c>
      <x:c r="H1" s="17" t="str">
        <x:v>Typical_Qty</x:v>
      </x:c>
      <x:c r="I1" s="17" t="str">
        <x:v>Candidate_Suppliers</x:v>
      </x:c>
      <x:c r="J1" s="17" t="str">
        <x:v>Criticality</x:v>
      </x:c>
      <x:c r="K1" s="17" t="str">
        <x:v>Record_Type</x:v>
      </x:c>
    </x:row>
    <x:row r="2">
      <x:c r="A2" t="str">
        <x:v>PAP-001</x:v>
      </x:c>
      <x:c r="B2" t="str">
        <x:v>Paper microfluidics (SALSA)</x:v>
      </x:c>
      <x:c r="C2" t="str">
        <x:v>Paper &amp; membrane</x:v>
      </x:c>
      <x:c r="D2" t="str">
        <x:v>Cellulose filter paper</x:v>
      </x:c>
      <x:c r="E2" t="str">
        <x:v>Grade 1, 100 sheets</x:v>
      </x:c>
      <x:c r="F2" t="str">
        <x:v>pack</x:v>
      </x:c>
      <x:c r="G2" s="34" t="n">
        <x:v>48</x:v>
      </x:c>
      <x:c r="H2" t="n">
        <x:v>1</x:v>
      </x:c>
      <x:c r="I2" t="str">
        <x:v>SUP-03, SUP-01, SUP-07</x:v>
      </x:c>
      <x:c r="J2" t="str">
        <x:v>MEDIUM</x:v>
      </x:c>
      <x:c r="K2" s="36" t="str">
        <x:v>SYNTHETIC_DEMO</x:v>
      </x:c>
    </x:row>
    <x:row r="3">
      <x:c r="A3" t="str">
        <x:v>PAP-002</x:v>
      </x:c>
      <x:c r="B3" t="str">
        <x:v>Paper microfluidics (SALSA)</x:v>
      </x:c>
      <x:c r="C3" t="str">
        <x:v>Paper &amp; membrane</x:v>
      </x:c>
      <x:c r="D3" t="str">
        <x:v>Chromatography paper</x:v>
      </x:c>
      <x:c r="E3" t="str">
        <x:v>Grade 1 CHR, 100 sheets</x:v>
      </x:c>
      <x:c r="F3" t="str">
        <x:v>pack</x:v>
      </x:c>
      <x:c r="G3" s="34" t="n">
        <x:v>76</x:v>
      </x:c>
      <x:c r="H3" t="n">
        <x:v>1</x:v>
      </x:c>
      <x:c r="I3" t="str">
        <x:v>SUP-03, SUP-01, SUP-07</x:v>
      </x:c>
      <x:c r="J3" t="str">
        <x:v>MEDIUM</x:v>
      </x:c>
      <x:c r="K3" s="36" t="str">
        <x:v>SYNTHETIC_DEMO</x:v>
      </x:c>
    </x:row>
    <x:row r="4">
      <x:c r="A4" t="str">
        <x:v>PAP-003</x:v>
      </x:c>
      <x:c r="B4" t="str">
        <x:v>Paper microfluidics (SALSA)</x:v>
      </x:c>
      <x:c r="C4" t="str">
        <x:v>Paper &amp; membrane</x:v>
      </x:c>
      <x:c r="D4" t="str">
        <x:v>Nitrocellulose membrane</x:v>
      </x:c>
      <x:c r="E4" t="str">
        <x:v>0.45 µm, sheets, 25/pack</x:v>
      </x:c>
      <x:c r="F4" t="str">
        <x:v>pack</x:v>
      </x:c>
      <x:c r="G4" s="34" t="n">
        <x:v>142</x:v>
      </x:c>
      <x:c r="H4" t="n">
        <x:v>1</x:v>
      </x:c>
      <x:c r="I4" t="str">
        <x:v>SUP-03, SUP-01, SUP-07</x:v>
      </x:c>
      <x:c r="J4" t="str">
        <x:v>HIGH</x:v>
      </x:c>
      <x:c r="K4" s="36" t="str">
        <x:v>SYNTHETIC_DEMO</x:v>
      </x:c>
    </x:row>
    <x:row r="5">
      <x:c r="A5" t="str">
        <x:v>PAP-004</x:v>
      </x:c>
      <x:c r="B5" t="str">
        <x:v>Paper microfluidics (SALSA)</x:v>
      </x:c>
      <x:c r="C5" t="str">
        <x:v>Paper &amp; membrane</x:v>
      </x:c>
      <x:c r="D5" t="str">
        <x:v>Wax printing consumables</x:v>
      </x:c>
      <x:c r="E5" t="str">
        <x:v>Hydrophobic barrier patterning consumables</x:v>
      </x:c>
      <x:c r="F5" t="str">
        <x:v>set</x:v>
      </x:c>
      <x:c r="G5" s="34" t="n">
        <x:v>84</x:v>
      </x:c>
      <x:c r="H5" t="n">
        <x:v>1</x:v>
      </x:c>
      <x:c r="I5" t="str">
        <x:v>SUP-03, SUP-07</x:v>
      </x:c>
      <x:c r="J5" t="str">
        <x:v>MEDIUM</x:v>
      </x:c>
      <x:c r="K5" s="36" t="str">
        <x:v>SYNTHETIC_DEMO</x:v>
      </x:c>
    </x:row>
    <x:row r="6">
      <x:c r="A6" t="str">
        <x:v>PAP-005</x:v>
      </x:c>
      <x:c r="B6" t="str">
        <x:v>Paper microfluidics (SALSA)</x:v>
      </x:c>
      <x:c r="C6" t="str">
        <x:v>Paper &amp; membrane</x:v>
      </x:c>
      <x:c r="D6" t="str">
        <x:v>Polyester laminating film</x:v>
      </x:c>
      <x:c r="E6" t="str">
        <x:v>A4 format, 100 sheets</x:v>
      </x:c>
      <x:c r="F6" t="str">
        <x:v>pack</x:v>
      </x:c>
      <x:c r="G6" s="34" t="n">
        <x:v>30</x:v>
      </x:c>
      <x:c r="H6" t="n">
        <x:v>1</x:v>
      </x:c>
      <x:c r="I6" t="str">
        <x:v>SUP-03, SUP-07</x:v>
      </x:c>
      <x:c r="J6" t="str">
        <x:v>LOW</x:v>
      </x:c>
      <x:c r="K6" s="36" t="str">
        <x:v>SYNTHETIC_DEMO</x:v>
      </x:c>
    </x:row>
    <x:row r="7">
      <x:c r="A7" t="str">
        <x:v>PAP-006</x:v>
      </x:c>
      <x:c r="B7" t="str">
        <x:v>Paper microfluidics (SALSA)</x:v>
      </x:c>
      <x:c r="C7" t="str">
        <x:v>Paper &amp; membrane</x:v>
      </x:c>
      <x:c r="D7" t="str">
        <x:v>Double-sided adhesive film</x:v>
      </x:c>
      <x:c r="E7" t="str">
        <x:v>Medical/optical grade, 50 sheets</x:v>
      </x:c>
      <x:c r="F7" t="str">
        <x:v>pack</x:v>
      </x:c>
      <x:c r="G7" s="34" t="n">
        <x:v>95</x:v>
      </x:c>
      <x:c r="H7" t="n">
        <x:v>1</x:v>
      </x:c>
      <x:c r="I7" t="str">
        <x:v>SUP-03, SUP-04, SUP-07</x:v>
      </x:c>
      <x:c r="J7" t="str">
        <x:v>MEDIUM</x:v>
      </x:c>
      <x:c r="K7" s="36" t="str">
        <x:v>SYNTHETIC_DEMO</x:v>
      </x:c>
    </x:row>
    <x:row r="8">
      <x:c r="A8" t="str">
        <x:v>PAP-007</x:v>
      </x:c>
      <x:c r="B8" t="str">
        <x:v>Paper microfluidics (SALSA)</x:v>
      </x:c>
      <x:c r="C8" t="str">
        <x:v>Assay reagents</x:v>
      </x:c>
      <x:c r="D8" t="str">
        <x:v>Phosphate-buffered saline</x:v>
      </x:c>
      <x:c r="E8" t="str">
        <x:v>1x PBS, 500 mL</x:v>
      </x:c>
      <x:c r="F8" t="str">
        <x:v>bottle</x:v>
      </x:c>
      <x:c r="G8" s="34" t="n">
        <x:v>27</x:v>
      </x:c>
      <x:c r="H8" t="n">
        <x:v>2</x:v>
      </x:c>
      <x:c r="I8" t="str">
        <x:v>SUP-01, SUP-02, SUP-07</x:v>
      </x:c>
      <x:c r="J8" t="str">
        <x:v>MEDIUM</x:v>
      </x:c>
      <x:c r="K8" s="36" t="str">
        <x:v>SYNTHETIC_DEMO</x:v>
      </x:c>
    </x:row>
    <x:row r="9">
      <x:c r="A9" t="str">
        <x:v>PAP-008</x:v>
      </x:c>
      <x:c r="B9" t="str">
        <x:v>Paper microfluidics (SALSA)</x:v>
      </x:c>
      <x:c r="C9" t="str">
        <x:v>Assay reagents</x:v>
      </x:c>
      <x:c r="D9" t="str">
        <x:v>Bovine serum albumin</x:v>
      </x:c>
      <x:c r="E9" t="str">
        <x:v>BSA, 100 g, analytical grade</x:v>
      </x:c>
      <x:c r="F9" t="str">
        <x:v>bottle</x:v>
      </x:c>
      <x:c r="G9" s="34" t="n">
        <x:v>129</x:v>
      </x:c>
      <x:c r="H9" t="n">
        <x:v>1</x:v>
      </x:c>
      <x:c r="I9" t="str">
        <x:v>SUP-01, SUP-02</x:v>
      </x:c>
      <x:c r="J9" t="str">
        <x:v>MEDIUM</x:v>
      </x:c>
      <x:c r="K9" s="36" t="str">
        <x:v>SYNTHETIC_DEMO</x:v>
      </x:c>
    </x:row>
    <x:row r="10">
      <x:c r="A10" t="str">
        <x:v>PAP-009</x:v>
      </x:c>
      <x:c r="B10" t="str">
        <x:v>Paper microfluidics (SALSA)</x:v>
      </x:c>
      <x:c r="C10" t="str">
        <x:v>Assay reagents</x:v>
      </x:c>
      <x:c r="D10" t="str">
        <x:v>Food-safe model dye set</x:v>
      </x:c>
      <x:c r="E10" t="str">
        <x:v>Colored tracer liquids for imaging calibration</x:v>
      </x:c>
      <x:c r="F10" t="str">
        <x:v>kit</x:v>
      </x:c>
      <x:c r="G10" s="34" t="n">
        <x:v>38</x:v>
      </x:c>
      <x:c r="H10" t="n">
        <x:v>1</x:v>
      </x:c>
      <x:c r="I10" t="str">
        <x:v>SUP-01, SUP-07</x:v>
      </x:c>
      <x:c r="J10" t="str">
        <x:v>LOW</x:v>
      </x:c>
      <x:c r="K10" s="36" t="str">
        <x:v>SYNTHETIC_DEMO</x:v>
      </x:c>
    </x:row>
    <x:row r="11">
      <x:c r="A11" t="str">
        <x:v>PAP-010</x:v>
      </x:c>
      <x:c r="B11" t="str">
        <x:v>Paper microfluidics (SALSA)</x:v>
      </x:c>
      <x:c r="C11" t="str">
        <x:v>Assay reagents</x:v>
      </x:c>
      <x:c r="D11" t="str">
        <x:v>Fluorescein sodium salt</x:v>
      </x:c>
      <x:c r="E11" t="str">
        <x:v>Fluorescence reference reagent, 5 g</x:v>
      </x:c>
      <x:c r="F11" t="str">
        <x:v>bottle</x:v>
      </x:c>
      <x:c r="G11" s="34" t="n">
        <x:v>82</x:v>
      </x:c>
      <x:c r="H11" t="n">
        <x:v>1</x:v>
      </x:c>
      <x:c r="I11" t="str">
        <x:v>SUP-01, SUP-02</x:v>
      </x:c>
      <x:c r="J11" t="str">
        <x:v>MEDIUM</x:v>
      </x:c>
      <x:c r="K11" s="36" t="str">
        <x:v>SYNTHETIC_DEMO</x:v>
      </x:c>
    </x:row>
    <x:row r="12">
      <x:c r="A12" t="str">
        <x:v>PAP-011</x:v>
      </x:c>
      <x:c r="B12" t="str">
        <x:v>Paper microfluidics (SALSA)</x:v>
      </x:c>
      <x:c r="C12" t="str">
        <x:v>Assay reagents</x:v>
      </x:c>
      <x:c r="D12" t="str">
        <x:v>Microcentrifuge tubes</x:v>
      </x:c>
      <x:c r="E12" t="str">
        <x:v>1.5 mL, 500/pack</x:v>
      </x:c>
      <x:c r="F12" t="str">
        <x:v>pack</x:v>
      </x:c>
      <x:c r="G12" s="34" t="n">
        <x:v>34</x:v>
      </x:c>
      <x:c r="H12" t="n">
        <x:v>2</x:v>
      </x:c>
      <x:c r="I12" t="str">
        <x:v>SUP-01, SUP-07</x:v>
      </x:c>
      <x:c r="J12" t="str">
        <x:v>LOW</x:v>
      </x:c>
      <x:c r="K12" s="36" t="str">
        <x:v>SYNTHETIC_DEMO</x:v>
      </x:c>
    </x:row>
    <x:row r="13">
      <x:c r="A13" t="str">
        <x:v>PAP-012</x:v>
      </x:c>
      <x:c r="B13" t="str">
        <x:v>Paper microfluidics (SALSA)</x:v>
      </x:c>
      <x:c r="C13" t="str">
        <x:v>Assay reagents</x:v>
      </x:c>
      <x:c r="D13" t="str">
        <x:v>Filter pipette tips</x:v>
      </x:c>
      <x:c r="E13" t="str">
        <x:v>200 µL, sterile, 960/pack</x:v>
      </x:c>
      <x:c r="F13" t="str">
        <x:v>pack</x:v>
      </x:c>
      <x:c r="G13" s="34" t="n">
        <x:v>80</x:v>
      </x:c>
      <x:c r="H13" t="n">
        <x:v>2</x:v>
      </x:c>
      <x:c r="I13" t="str">
        <x:v>SUP-01, SUP-02, SUP-07</x:v>
      </x:c>
      <x:c r="J13" t="str">
        <x:v>MEDIUM</x:v>
      </x:c>
      <x:c r="K13" s="36" t="str">
        <x:v>SYNTHETIC_DEMO</x:v>
      </x:c>
    </x:row>
    <x:row r="14">
      <x:c r="A14" t="str">
        <x:v>OOC-001</x:v>
      </x:c>
      <x:c r="B14" t="str">
        <x:v>IMCD kidney-on-a-chip</x:v>
      </x:c>
      <x:c r="C14" t="str">
        <x:v>Chip fabrication</x:v>
      </x:c>
      <x:c r="D14" t="str">
        <x:v>PDMS elastomer kit</x:v>
      </x:c>
      <x:c r="E14" t="str">
        <x:v>2-part silicone elastomer, approx. 1 kg</x:v>
      </x:c>
      <x:c r="F14" t="str">
        <x:v>kit</x:v>
      </x:c>
      <x:c r="G14" s="34" t="n">
        <x:v>215</x:v>
      </x:c>
      <x:c r="H14" t="n">
        <x:v>1</x:v>
      </x:c>
      <x:c r="I14" t="str">
        <x:v>SUP-04, SUP-07</x:v>
      </x:c>
      <x:c r="J14" t="str">
        <x:v>HIGH</x:v>
      </x:c>
      <x:c r="K14" s="36" t="str">
        <x:v>SYNTHETIC_DEMO</x:v>
      </x:c>
    </x:row>
    <x:row r="15">
      <x:c r="A15" t="str">
        <x:v>OOC-002</x:v>
      </x:c>
      <x:c r="B15" t="str">
        <x:v>IMCD kidney-on-a-chip</x:v>
      </x:c>
      <x:c r="C15" t="str">
        <x:v>Chip fabrication</x:v>
      </x:c>
      <x:c r="D15" t="str">
        <x:v>Porous membrane film</x:v>
      </x:c>
      <x:c r="E15" t="str">
        <x:v>0.4 µm, microfluidic support membrane</x:v>
      </x:c>
      <x:c r="F15" t="str">
        <x:v>pack</x:v>
      </x:c>
      <x:c r="G15" s="34" t="n">
        <x:v>175</x:v>
      </x:c>
      <x:c r="H15" t="n">
        <x:v>1</x:v>
      </x:c>
      <x:c r="I15" t="str">
        <x:v>SUP-04, SUP-01</x:v>
      </x:c>
      <x:c r="J15" t="str">
        <x:v>HIGH</x:v>
      </x:c>
      <x:c r="K15" s="36" t="str">
        <x:v>SYNTHETIC_DEMO</x:v>
      </x:c>
    </x:row>
    <x:row r="16">
      <x:c r="A16" t="str">
        <x:v>OOC-003</x:v>
      </x:c>
      <x:c r="B16" t="str">
        <x:v>IMCD kidney-on-a-chip</x:v>
      </x:c>
      <x:c r="C16" t="str">
        <x:v>Chip fabrication</x:v>
      </x:c>
      <x:c r="D16" t="str">
        <x:v>Microscope glass slides</x:v>
      </x:c>
      <x:c r="E16" t="str">
        <x:v>75 × 25 mm, 72/box</x:v>
      </x:c>
      <x:c r="F16" t="str">
        <x:v>box</x:v>
      </x:c>
      <x:c r="G16" s="34" t="n">
        <x:v>32</x:v>
      </x:c>
      <x:c r="H16" t="n">
        <x:v>1</x:v>
      </x:c>
      <x:c r="I16" t="str">
        <x:v>SUP-01, SUP-04, SUP-07</x:v>
      </x:c>
      <x:c r="J16" t="str">
        <x:v>MEDIUM</x:v>
      </x:c>
      <x:c r="K16" s="36" t="str">
        <x:v>SYNTHETIC_DEMO</x:v>
      </x:c>
    </x:row>
    <x:row r="17">
      <x:c r="A17" t="str">
        <x:v>OOC-004</x:v>
      </x:c>
      <x:c r="B17" t="str">
        <x:v>IMCD kidney-on-a-chip</x:v>
      </x:c>
      <x:c r="C17" t="str">
        <x:v>Chip fabrication</x:v>
      </x:c>
      <x:c r="D17" t="str">
        <x:v>Glass cover slips</x:v>
      </x:c>
      <x:c r="E17" t="str">
        <x:v>No. 1.5, 100/pack</x:v>
      </x:c>
      <x:c r="F17" t="str">
        <x:v>pack</x:v>
      </x:c>
      <x:c r="G17" s="34" t="n">
        <x:v>44</x:v>
      </x:c>
      <x:c r="H17" t="n">
        <x:v>1</x:v>
      </x:c>
      <x:c r="I17" t="str">
        <x:v>SUP-01, SUP-04</x:v>
      </x:c>
      <x:c r="J17" t="str">
        <x:v>MEDIUM</x:v>
      </x:c>
      <x:c r="K17" s="36" t="str">
        <x:v>SYNTHETIC_DEMO</x:v>
      </x:c>
    </x:row>
    <x:row r="18">
      <x:c r="A18" t="str">
        <x:v>OOC-005</x:v>
      </x:c>
      <x:c r="B18" t="str">
        <x:v>IMCD kidney-on-a-chip</x:v>
      </x:c>
      <x:c r="C18" t="str">
        <x:v>Fluidics hardware</x:v>
      </x:c>
      <x:c r="D18" t="str">
        <x:v>Silicone microbore tubing</x:v>
      </x:c>
      <x:c r="E18" t="str">
        <x:v>1/16 in ID, 10 m</x:v>
      </x:c>
      <x:c r="F18" t="str">
        <x:v>roll</x:v>
      </x:c>
      <x:c r="G18" s="34" t="n">
        <x:v>105</x:v>
      </x:c>
      <x:c r="H18" t="n">
        <x:v>1</x:v>
      </x:c>
      <x:c r="I18" t="str">
        <x:v>SUP-05, SUP-04, SUP-07</x:v>
      </x:c>
      <x:c r="J18" t="str">
        <x:v>HIGH</x:v>
      </x:c>
      <x:c r="K18" s="36" t="str">
        <x:v>SYNTHETIC_DEMO</x:v>
      </x:c>
    </x:row>
    <x:row r="19">
      <x:c r="A19" t="str">
        <x:v>OOC-006</x:v>
      </x:c>
      <x:c r="B19" t="str">
        <x:v>IMCD kidney-on-a-chip</x:v>
      </x:c>
      <x:c r="C19" t="str">
        <x:v>Fluidics hardware</x:v>
      </x:c>
      <x:c r="D19" t="str">
        <x:v>Luer-lock connectors</x:v>
      </x:c>
      <x:c r="E19" t="str">
        <x:v>Male/female assorted, 25/pack</x:v>
      </x:c>
      <x:c r="F19" t="str">
        <x:v>pack</x:v>
      </x:c>
      <x:c r="G19" s="34" t="n">
        <x:v>67</x:v>
      </x:c>
      <x:c r="H19" t="n">
        <x:v>1</x:v>
      </x:c>
      <x:c r="I19" t="str">
        <x:v>SUP-05, SUP-07</x:v>
      </x:c>
      <x:c r="J19" t="str">
        <x:v>HIGH</x:v>
      </x:c>
      <x:c r="K19" s="36" t="str">
        <x:v>SYNTHETIC_DEMO</x:v>
      </x:c>
    </x:row>
    <x:row r="20">
      <x:c r="A20" t="str">
        <x:v>OOC-007</x:v>
      </x:c>
      <x:c r="B20" t="str">
        <x:v>IMCD kidney-on-a-chip</x:v>
      </x:c>
      <x:c r="C20" t="str">
        <x:v>Fluidics hardware</x:v>
      </x:c>
      <x:c r="D20" t="str">
        <x:v>Sterile syringes</x:v>
      </x:c>
      <x:c r="E20" t="str">
        <x:v>10 mL, 100/box</x:v>
      </x:c>
      <x:c r="F20" t="str">
        <x:v>box</x:v>
      </x:c>
      <x:c r="G20" s="34" t="n">
        <x:v>69</x:v>
      </x:c>
      <x:c r="H20" t="n">
        <x:v>1</x:v>
      </x:c>
      <x:c r="I20" t="str">
        <x:v>SUP-05, SUP-01, SUP-07</x:v>
      </x:c>
      <x:c r="J20" t="str">
        <x:v>MEDIUM</x:v>
      </x:c>
      <x:c r="K20" s="36" t="str">
        <x:v>SYNTHETIC_DEMO</x:v>
      </x:c>
    </x:row>
    <x:row r="21">
      <x:c r="A21" t="str">
        <x:v>OOC-008</x:v>
      </x:c>
      <x:c r="B21" t="str">
        <x:v>IMCD kidney-on-a-chip</x:v>
      </x:c>
      <x:c r="C21" t="str">
        <x:v>Fluidics hardware</x:v>
      </x:c>
      <x:c r="D21" t="str">
        <x:v>Flow restrictors and valves</x:v>
      </x:c>
      <x:c r="E21" t="str">
        <x:v>Small-bore fluidic assortment</x:v>
      </x:c>
      <x:c r="F21" t="str">
        <x:v>set</x:v>
      </x:c>
      <x:c r="G21" s="34" t="n">
        <x:v>145</x:v>
      </x:c>
      <x:c r="H21" t="n">
        <x:v>1</x:v>
      </x:c>
      <x:c r="I21" t="str">
        <x:v>SUP-05, SUP-04</x:v>
      </x:c>
      <x:c r="J21" t="str">
        <x:v>HIGH</x:v>
      </x:c>
      <x:c r="K21" s="36" t="str">
        <x:v>SYNTHETIC_DEMO</x:v>
      </x:c>
    </x:row>
    <x:row r="22">
      <x:c r="A22" t="str">
        <x:v>OOC-009</x:v>
      </x:c>
      <x:c r="B22" t="str">
        <x:v>IMCD kidney-on-a-chip</x:v>
      </x:c>
      <x:c r="C22" t="str">
        <x:v>Cell culture</x:v>
      </x:c>
      <x:c r="D22" t="str">
        <x:v>DMEM/F-12 medium</x:v>
      </x:c>
      <x:c r="E22" t="str">
        <x:v>500 mL, sterile cell culture medium</x:v>
      </x:c>
      <x:c r="F22" t="str">
        <x:v>bottle</x:v>
      </x:c>
      <x:c r="G22" s="34" t="n">
        <x:v>42</x:v>
      </x:c>
      <x:c r="H22" t="n">
        <x:v>3</x:v>
      </x:c>
      <x:c r="I22" t="str">
        <x:v>SUP-02, SUP-01</x:v>
      </x:c>
      <x:c r="J22" t="str">
        <x:v>HIGH</x:v>
      </x:c>
      <x:c r="K22" s="36" t="str">
        <x:v>SYNTHETIC_DEMO</x:v>
      </x:c>
    </x:row>
    <x:row r="23">
      <x:c r="A23" t="str">
        <x:v>OOC-010</x:v>
      </x:c>
      <x:c r="B23" t="str">
        <x:v>IMCD kidney-on-a-chip</x:v>
      </x:c>
      <x:c r="C23" t="str">
        <x:v>Cell culture</x:v>
      </x:c>
      <x:c r="D23" t="str">
        <x:v>Fetal bovine serum</x:v>
      </x:c>
      <x:c r="E23" t="str">
        <x:v>500 mL, cell culture grade</x:v>
      </x:c>
      <x:c r="F23" t="str">
        <x:v>bottle</x:v>
      </x:c>
      <x:c r="G23" s="34" t="n">
        <x:v>390</x:v>
      </x:c>
      <x:c r="H23" t="n">
        <x:v>1</x:v>
      </x:c>
      <x:c r="I23" t="str">
        <x:v>SUP-02, SUP-01</x:v>
      </x:c>
      <x:c r="J23" t="str">
        <x:v>HIGH</x:v>
      </x:c>
      <x:c r="K23" s="36" t="str">
        <x:v>SYNTHETIC_DEMO</x:v>
      </x:c>
    </x:row>
    <x:row r="24">
      <x:c r="A24" t="str">
        <x:v>OOC-011</x:v>
      </x:c>
      <x:c r="B24" t="str">
        <x:v>IMCD kidney-on-a-chip</x:v>
      </x:c>
      <x:c r="C24" t="str">
        <x:v>Cell culture</x:v>
      </x:c>
      <x:c r="D24" t="str">
        <x:v>Penicillin-streptomycin</x:v>
      </x:c>
      <x:c r="E24" t="str">
        <x:v>100 mL, 100x solution</x:v>
      </x:c>
      <x:c r="F24" t="str">
        <x:v>bottle</x:v>
      </x:c>
      <x:c r="G24" s="34" t="n">
        <x:v>41</x:v>
      </x:c>
      <x:c r="H24" t="n">
        <x:v>1</x:v>
      </x:c>
      <x:c r="I24" t="str">
        <x:v>SUP-02, SUP-01</x:v>
      </x:c>
      <x:c r="J24" t="str">
        <x:v>MEDIUM</x:v>
      </x:c>
      <x:c r="K24" s="36" t="str">
        <x:v>SYNTHETIC_DEMO</x:v>
      </x:c>
    </x:row>
    <x:row r="25">
      <x:c r="A25" t="str">
        <x:v>OOC-012</x:v>
      </x:c>
      <x:c r="B25" t="str">
        <x:v>IMCD kidney-on-a-chip</x:v>
      </x:c>
      <x:c r="C25" t="str">
        <x:v>Cell culture</x:v>
      </x:c>
      <x:c r="D25" t="str">
        <x:v>Trypsin-EDTA</x:v>
      </x:c>
      <x:c r="E25" t="str">
        <x:v>100 mL, cell dissociation</x:v>
      </x:c>
      <x:c r="F25" t="str">
        <x:v>bottle</x:v>
      </x:c>
      <x:c r="G25" s="34" t="n">
        <x:v>34</x:v>
      </x:c>
      <x:c r="H25" t="n">
        <x:v>1</x:v>
      </x:c>
      <x:c r="I25" t="str">
        <x:v>SUP-02, SUP-01</x:v>
      </x:c>
      <x:c r="J25" t="str">
        <x:v>MEDIUM</x:v>
      </x:c>
      <x:c r="K25" s="36" t="str">
        <x:v>SYNTHETIC_DEMO</x:v>
      </x:c>
    </x:row>
    <x:row r="26">
      <x:c r="A26" t="str">
        <x:v>OOC-013</x:v>
      </x:c>
      <x:c r="B26" t="str">
        <x:v>IMCD kidney-on-a-chip</x:v>
      </x:c>
      <x:c r="C26" t="str">
        <x:v>Cell culture</x:v>
      </x:c>
      <x:c r="D26" t="str">
        <x:v>Collagen coating solution</x:v>
      </x:c>
      <x:c r="E26" t="str">
        <x:v>Cell adhesion coating, 20 mL</x:v>
      </x:c>
      <x:c r="F26" t="str">
        <x:v>bottle</x:v>
      </x:c>
      <x:c r="G26" s="34" t="n">
        <x:v>118</x:v>
      </x:c>
      <x:c r="H26" t="n">
        <x:v>1</x:v>
      </x:c>
      <x:c r="I26" t="str">
        <x:v>SUP-02, SUP-01</x:v>
      </x:c>
      <x:c r="J26" t="str">
        <x:v>HIGH</x:v>
      </x:c>
      <x:c r="K26" s="36" t="str">
        <x:v>SYNTHETIC_DEMO</x:v>
      </x:c>
    </x:row>
    <x:row r="27">
      <x:c r="A27" t="str">
        <x:v>OOC-014</x:v>
      </x:c>
      <x:c r="B27" t="str">
        <x:v>IMCD kidney-on-a-chip</x:v>
      </x:c>
      <x:c r="C27" t="str">
        <x:v>Cell culture</x:v>
      </x:c>
      <x:c r="D27" t="str">
        <x:v>Culture well plates</x:v>
      </x:c>
      <x:c r="E27" t="str">
        <x:v>24-well, sterile, 50/pack</x:v>
      </x:c>
      <x:c r="F27" t="str">
        <x:v>pack</x:v>
      </x:c>
      <x:c r="G27" s="34" t="n">
        <x:v>109</x:v>
      </x:c>
      <x:c r="H27" t="n">
        <x:v>1</x:v>
      </x:c>
      <x:c r="I27" t="str">
        <x:v>SUP-02, SUP-01, SUP-07</x:v>
      </x:c>
      <x:c r="J27" t="str">
        <x:v>MEDIUM</x:v>
      </x:c>
      <x:c r="K27" s="36" t="str">
        <x:v>SYNTHETIC_DEMO</x:v>
      </x:c>
    </x:row>
    <x:row r="28">
      <x:c r="A28" t="str">
        <x:v>OOC-015</x:v>
      </x:c>
      <x:c r="B28" t="str">
        <x:v>IMCD kidney-on-a-chip</x:v>
      </x:c>
      <x:c r="C28" t="str">
        <x:v>Cell culture</x:v>
      </x:c>
      <x:c r="D28" t="str">
        <x:v>Syringe filters</x:v>
      </x:c>
      <x:c r="E28" t="str">
        <x:v>0.22 µm, sterile, 50/pack</x:v>
      </x:c>
      <x:c r="F28" t="str">
        <x:v>pack</x:v>
      </x:c>
      <x:c r="G28" s="34" t="n">
        <x:v>89</x:v>
      </x:c>
      <x:c r="H28" t="n">
        <x:v>1</x:v>
      </x:c>
      <x:c r="I28" t="str">
        <x:v>SUP-02, SUP-01</x:v>
      </x:c>
      <x:c r="J28" t="str">
        <x:v>MEDIUM</x:v>
      </x:c>
      <x:c r="K28" s="36" t="str">
        <x:v>SYNTHETIC_DEMO</x:v>
      </x:c>
    </x:row>
    <x:row r="29">
      <x:c r="A29" t="str">
        <x:v>OOC-016</x:v>
      </x:c>
      <x:c r="B29" t="str">
        <x:v>IMCD kidney-on-a-chip</x:v>
      </x:c>
      <x:c r="C29" t="str">
        <x:v>Cell culture</x:v>
      </x:c>
      <x:c r="D29" t="str">
        <x:v>Nitrile laboratory gloves</x:v>
      </x:c>
      <x:c r="E29" t="str">
        <x:v>Size M, powder-free, 100/box</x:v>
      </x:c>
      <x:c r="F29" t="str">
        <x:v>box</x:v>
      </x:c>
      <x:c r="G29" s="34" t="n">
        <x:v>21</x:v>
      </x:c>
      <x:c r="H29" t="n">
        <x:v>3</x:v>
      </x:c>
      <x:c r="I29" t="str">
        <x:v>SUP-01, SUP-07</x:v>
      </x:c>
      <x:c r="J29" t="str">
        <x:v>LOW</x:v>
      </x:c>
      <x:c r="K29" s="36" t="str">
        <x:v>SYNTHETIC_DEMO</x:v>
      </x:c>
    </x:row>
    <x:row r="30">
      <x:c r="A30" t="str">
        <x:v>IMG-001</x:v>
      </x:c>
      <x:c r="B30" t="str">
        <x:v>Smartphone optical readout</x:v>
      </x:c>
      <x:c r="C30" t="str">
        <x:v>Optics &amp; electronics</x:v>
      </x:c>
      <x:c r="D30" t="str">
        <x:v>USB ring LED module</x:v>
      </x:c>
      <x:c r="E30" t="str">
        <x:v>Adjustable white LED, USB-powered</x:v>
      </x:c>
      <x:c r="F30" t="str">
        <x:v>unit</x:v>
      </x:c>
      <x:c r="G30" s="34" t="n">
        <x:v>36</x:v>
      </x:c>
      <x:c r="H30" t="n">
        <x:v>2</x:v>
      </x:c>
      <x:c r="I30" t="str">
        <x:v>SUP-06, SUP-07</x:v>
      </x:c>
      <x:c r="J30" t="str">
        <x:v>MEDIUM</x:v>
      </x:c>
      <x:c r="K30" s="36" t="str">
        <x:v>SYNTHETIC_DEMO</x:v>
      </x:c>
    </x:row>
    <x:row r="31">
      <x:c r="A31" t="str">
        <x:v>IMG-002</x:v>
      </x:c>
      <x:c r="B31" t="str">
        <x:v>Smartphone optical readout</x:v>
      </x:c>
      <x:c r="C31" t="str">
        <x:v>Optics &amp; electronics</x:v>
      </x:c>
      <x:c r="D31" t="str">
        <x:v>Macro lens attachment</x:v>
      </x:c>
      <x:c r="E31" t="str">
        <x:v>Smartphone lens, manual clip mount</x:v>
      </x:c>
      <x:c r="F31" t="str">
        <x:v>unit</x:v>
      </x:c>
      <x:c r="G31" s="34" t="n">
        <x:v>48</x:v>
      </x:c>
      <x:c r="H31" t="n">
        <x:v>1</x:v>
      </x:c>
      <x:c r="I31" t="str">
        <x:v>SUP-06, SUP-07</x:v>
      </x:c>
      <x:c r="J31" t="str">
        <x:v>MEDIUM</x:v>
      </x:c>
      <x:c r="K31" s="36" t="str">
        <x:v>SYNTHETIC_DEMO</x:v>
      </x:c>
    </x:row>
    <x:row r="32">
      <x:c r="A32" t="str">
        <x:v>IMG-003</x:v>
      </x:c>
      <x:c r="B32" t="str">
        <x:v>Smartphone optical readout</x:v>
      </x:c>
      <x:c r="C32" t="str">
        <x:v>Optics &amp; electronics</x:v>
      </x:c>
      <x:c r="D32" t="str">
        <x:v>Calibration color target</x:v>
      </x:c>
      <x:c r="E32" t="str">
        <x:v>Color/gray reference card, small format</x:v>
      </x:c>
      <x:c r="F32" t="str">
        <x:v>unit</x:v>
      </x:c>
      <x:c r="G32" s="34" t="n">
        <x:v>58</x:v>
      </x:c>
      <x:c r="H32" t="n">
        <x:v>1</x:v>
      </x:c>
      <x:c r="I32" t="str">
        <x:v>SUP-06, SUP-07</x:v>
      </x:c>
      <x:c r="J32" t="str">
        <x:v>MEDIUM</x:v>
      </x:c>
      <x:c r="K32" s="36" t="str">
        <x:v>SYNTHETIC_DEMO</x:v>
      </x:c>
    </x:row>
    <x:row r="33">
      <x:c r="A33" t="str">
        <x:v>IMG-004</x:v>
      </x:c>
      <x:c r="B33" t="str">
        <x:v>Smartphone optical readout</x:v>
      </x:c>
      <x:c r="C33" t="str">
        <x:v>Optics &amp; electronics</x:v>
      </x:c>
      <x:c r="D33" t="str">
        <x:v>Diffuser film</x:v>
      </x:c>
      <x:c r="E33" t="str">
        <x:v>Optical diffusion sheets, 10/pack</x:v>
      </x:c>
      <x:c r="F33" t="str">
        <x:v>pack</x:v>
      </x:c>
      <x:c r="G33" s="34" t="n">
        <x:v>43</x:v>
      </x:c>
      <x:c r="H33" t="n">
        <x:v>1</x:v>
      </x:c>
      <x:c r="I33" t="str">
        <x:v>SUP-06, SUP-07</x:v>
      </x:c>
      <x:c r="J33" t="str">
        <x:v>LOW</x:v>
      </x:c>
      <x:c r="K33" s="36" t="str">
        <x:v>SYNTHETIC_DEMO</x:v>
      </x:c>
    </x:row>
    <x:row r="34">
      <x:c r="A34" t="str">
        <x:v>IMG-005</x:v>
      </x:c>
      <x:c r="B34" t="str">
        <x:v>Smartphone optical readout</x:v>
      </x:c>
      <x:c r="C34" t="str">
        <x:v>Prototype hardware</x:v>
      </x:c>
      <x:c r="D34" t="str">
        <x:v>3D printed phone holder</x:v>
      </x:c>
      <x:c r="E34" t="str">
        <x:v>Custom FDM bracket, PLA/PETG, per batch</x:v>
      </x:c>
      <x:c r="F34" t="str">
        <x:v>batch</x:v>
      </x:c>
      <x:c r="G34" s="34" t="n">
        <x:v>92</x:v>
      </x:c>
      <x:c r="H34" t="n">
        <x:v>1</x:v>
      </x:c>
      <x:c r="I34" t="str">
        <x:v>SUP-08, SUP-04</x:v>
      </x:c>
      <x:c r="J34" t="str">
        <x:v>MEDIUM</x:v>
      </x:c>
      <x:c r="K34" s="36" t="str">
        <x:v>SYNTHETIC_DEMO</x:v>
      </x:c>
    </x:row>
    <x:row r="35">
      <x:c r="A35" t="str">
        <x:v>IMG-006</x:v>
      </x:c>
      <x:c r="B35" t="str">
        <x:v>Smartphone optical readout</x:v>
      </x:c>
      <x:c r="C35" t="str">
        <x:v>Prototype hardware</x:v>
      </x:c>
      <x:c r="D35" t="str">
        <x:v>Adjustable optical mount</x:v>
      </x:c>
      <x:c r="E35" t="str">
        <x:v>Manual adjustable stage, bench mount</x:v>
      </x:c>
      <x:c r="F35" t="str">
        <x:v>unit</x:v>
      </x:c>
      <x:c r="G35" s="34" t="n">
        <x:v>138</x:v>
      </x:c>
      <x:c r="H35" t="n">
        <x:v>1</x:v>
      </x:c>
      <x:c r="I35" t="str">
        <x:v>SUP-06, SUP-08</x:v>
      </x:c>
      <x:c r="J35" t="str">
        <x:v>MEDIUM</x:v>
      </x:c>
      <x:c r="K35" s="36" t="str">
        <x:v>SYNTHETIC_DEMO</x:v>
      </x:c>
    </x:row>
    <x:row r="36">
      <x:c r="A36" t="str">
        <x:v>IMG-007</x:v>
      </x:c>
      <x:c r="B36" t="str">
        <x:v>Smartphone optical readout</x:v>
      </x:c>
      <x:c r="C36" t="str">
        <x:v>Prototype hardware</x:v>
      </x:c>
      <x:c r="D36" t="str">
        <x:v>Acrylic laser-cut frame</x:v>
      </x:c>
      <x:c r="E36" t="str">
        <x:v>Custom microfluidic imaging frame</x:v>
      </x:c>
      <x:c r="F36" t="str">
        <x:v>batch</x:v>
      </x:c>
      <x:c r="G36" s="34" t="n">
        <x:v>115</x:v>
      </x:c>
      <x:c r="H36" t="n">
        <x:v>1</x:v>
      </x:c>
      <x:c r="I36" t="str">
        <x:v>SUP-08, SUP-04</x:v>
      </x:c>
      <x:c r="J36" t="str">
        <x:v>MEDIUM</x:v>
      </x:c>
      <x:c r="K36" s="36" t="str">
        <x:v>SYNTHETIC_DEMO</x:v>
      </x:c>
    </x:row>
  </x:sheetData>
  <x:pageMargins left="0.7" right="0.7" top="0.75" bottom="0.75" header="0.3" footer="0.3"/>
  <x:tableParts count="1">
    <x:tablePart xmlns:r="http://schemas.openxmlformats.org/officeDocument/2006/relationships" r:id="R01de88204bf8473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9" hidden="0" customWidth="1"/>
    <x:col min="3" max="3" width="42" hidden="0" customWidth="1"/>
    <x:col min="4" max="4" width="24" hidden="0" customWidth="1"/>
    <x:col min="5" max="5" width="15" hidden="0" customWidth="1"/>
    <x:col min="6" max="6" width="35" hidden="0" customWidth="1"/>
    <x:col min="7" max="7" width="18" hidden="0" customWidth="1"/>
    <x:col min="8" max="8" width="22" hidden="0" customWidth="1"/>
  </x:cols>
  <x:sheetData>
    <x:row r="1" ht="32" customHeight="1">
      <x:c r="A1" s="17" t="str">
        <x:v>Supplier_ID</x:v>
      </x:c>
      <x:c r="B1" s="17" t="str">
        <x:v>Supplier_Name</x:v>
      </x:c>
      <x:c r="C1" s="17" t="str">
        <x:v>Supply_Specialty</x:v>
      </x:c>
      <x:c r="D1" s="17" t="str">
        <x:v>Nominal_Lead_Days_DEMO</x:v>
      </x:c>
      <x:c r="E1" s="17" t="str">
        <x:v>Country</x:v>
      </x:c>
      <x:c r="F1" s="17" t="str">
        <x:v>Contact</x:v>
      </x:c>
      <x:c r="G1" s="17" t="str">
        <x:v>Status</x:v>
      </x:c>
      <x:c r="H1" s="17" t="str">
        <x:v>Record_Type</x:v>
      </x:c>
    </x:row>
    <x:row r="2">
      <x:c r="A2" t="str">
        <x:v>SUP-01</x:v>
      </x:c>
      <x:c r="B2" t="str">
        <x:v>Sonoran Scientific Supply</x:v>
      </x:c>
      <x:c r="C2" t="str">
        <x:v>General lab consumables</x:v>
      </x:c>
      <x:c r="D2" t="n">
        <x:v>6</x:v>
      </x:c>
      <x:c r="E2" t="str">
        <x:v>US</x:v>
      </x:c>
      <x:c r="F2" t="str">
        <x:v>Not provided / hypothetical</x:v>
      </x:c>
      <x:c r="G2" t="str">
        <x:v>DEMO ONLY</x:v>
      </x:c>
      <x:c r="H2" s="36" t="str">
        <x:v>SYNTHETIC_DEMO</x:v>
      </x:c>
    </x:row>
    <x:row r="3">
      <x:c r="A3" t="str">
        <x:v>SUP-02</x:v>
      </x:c>
      <x:c r="B3" t="str">
        <x:v>Desert BioReagents</x:v>
      </x:c>
      <x:c r="C3" t="str">
        <x:v>Cell culture / reagents</x:v>
      </x:c>
      <x:c r="D3" t="n">
        <x:v>5</x:v>
      </x:c>
      <x:c r="E3" t="str">
        <x:v>US</x:v>
      </x:c>
      <x:c r="F3" t="str">
        <x:v>Not provided / hypothetical</x:v>
      </x:c>
      <x:c r="G3" t="str">
        <x:v>DEMO ONLY</x:v>
      </x:c>
      <x:c r="H3" s="36" t="str">
        <x:v>SYNTHETIC_DEMO</x:v>
      </x:c>
    </x:row>
    <x:row r="4">
      <x:c r="A4" t="str">
        <x:v>SUP-03</x:v>
      </x:c>
      <x:c r="B4" t="str">
        <x:v>Catalina Paper &amp; Membrane</x:v>
      </x:c>
      <x:c r="C4" t="str">
        <x:v>Paper-based microfluidics</x:v>
      </x:c>
      <x:c r="D4" t="n">
        <x:v>7</x:v>
      </x:c>
      <x:c r="E4" t="str">
        <x:v>US</x:v>
      </x:c>
      <x:c r="F4" t="str">
        <x:v>Not provided / hypothetical</x:v>
      </x:c>
      <x:c r="G4" t="str">
        <x:v>DEMO ONLY</x:v>
      </x:c>
      <x:c r="H4" s="36" t="str">
        <x:v>SYNTHETIC_DEMO</x:v>
      </x:c>
    </x:row>
    <x:row r="5">
      <x:c r="A5" t="str">
        <x:v>SUP-04</x:v>
      </x:c>
      <x:c r="B5" t="str">
        <x:v>Canyon Microfabrication</x:v>
      </x:c>
      <x:c r="C5" t="str">
        <x:v>Chip fabrication / PDMS</x:v>
      </x:c>
      <x:c r="D5" t="n">
        <x:v>11</x:v>
      </x:c>
      <x:c r="E5" t="str">
        <x:v>US</x:v>
      </x:c>
      <x:c r="F5" t="str">
        <x:v>Not provided / hypothetical</x:v>
      </x:c>
      <x:c r="G5" t="str">
        <x:v>DEMO ONLY</x:v>
      </x:c>
      <x:c r="H5" s="36" t="str">
        <x:v>SYNTHETIC_DEMO</x:v>
      </x:c>
    </x:row>
    <x:row r="6">
      <x:c r="A6" t="str">
        <x:v>SUP-05</x:v>
      </x:c>
      <x:c r="B6" t="str">
        <x:v>Tucson Fluidics Components</x:v>
      </x:c>
      <x:c r="C6" t="str">
        <x:v>Tubing / connectors / syringes</x:v>
      </x:c>
      <x:c r="D6" t="n">
        <x:v>6</x:v>
      </x:c>
      <x:c r="E6" t="str">
        <x:v>US</x:v>
      </x:c>
      <x:c r="F6" t="str">
        <x:v>Not provided / hypothetical</x:v>
      </x:c>
      <x:c r="G6" t="str">
        <x:v>DEMO ONLY</x:v>
      </x:c>
      <x:c r="H6" s="36" t="str">
        <x:v>SYNTHETIC_DEMO</x:v>
      </x:c>
    </x:row>
    <x:row r="7">
      <x:c r="A7" t="str">
        <x:v>SUP-06</x:v>
      </x:c>
      <x:c r="B7" t="str">
        <x:v>Southwest Imaging Parts</x:v>
      </x:c>
      <x:c r="C7" t="str">
        <x:v>Optics / imaging hardware</x:v>
      </x:c>
      <x:c r="D7" t="n">
        <x:v>8</x:v>
      </x:c>
      <x:c r="E7" t="str">
        <x:v>US</x:v>
      </x:c>
      <x:c r="F7" t="str">
        <x:v>Not provided / hypothetical</x:v>
      </x:c>
      <x:c r="G7" t="str">
        <x:v>DEMO ONLY</x:v>
      </x:c>
      <x:c r="H7" s="36" t="str">
        <x:v>SYNTHETIC_DEMO</x:v>
      </x:c>
    </x:row>
    <x:row r="8">
      <x:c r="A8" t="str">
        <x:v>SUP-07</x:v>
      </x:c>
      <x:c r="B8" t="str">
        <x:v>RapidLab Alternate Source</x:v>
      </x:c>
      <x:c r="C8" t="str">
        <x:v>Cross-category backup</x:v>
      </x:c>
      <x:c r="D8" t="n">
        <x:v>3</x:v>
      </x:c>
      <x:c r="E8" t="str">
        <x:v>US</x:v>
      </x:c>
      <x:c r="F8" t="str">
        <x:v>Not provided / hypothetical</x:v>
      </x:c>
      <x:c r="G8" t="str">
        <x:v>DEMO ONLY</x:v>
      </x:c>
      <x:c r="H8" s="36" t="str">
        <x:v>SYNTHETIC_DEMO</x:v>
      </x:c>
    </x:row>
    <x:row r="9">
      <x:c r="A9" t="str">
        <x:v>SUP-08</x:v>
      </x:c>
      <x:c r="B9" t="str">
        <x:v>Precision Prototype Services</x:v>
      </x:c>
      <x:c r="C9" t="str">
        <x:v>Custom parts / prototypes</x:v>
      </x:c>
      <x:c r="D9" t="n">
        <x:v>12</x:v>
      </x:c>
      <x:c r="E9" t="str">
        <x:v>US</x:v>
      </x:c>
      <x:c r="F9" t="str">
        <x:v>Not provided / hypothetical</x:v>
      </x:c>
      <x:c r="G9" t="str">
        <x:v>DEMO ONLY</x:v>
      </x:c>
      <x:c r="H9" s="36" t="str">
        <x:v>SYNTHETIC_DEMO</x:v>
      </x:c>
    </x:row>
  </x:sheetData>
  <x:pageMargins left="0.7" right="0.7" top="0.75" bottom="0.75" header="0.3" footer="0.3"/>
  <x:tableParts count="1">
    <x:tablePart xmlns:r="http://schemas.openxmlformats.org/officeDocument/2006/relationships" r:id="R9e1f7779990f42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0" hidden="0" customWidth="1"/>
    <x:col min="4" max="4" width="24" hidden="0" customWidth="1"/>
    <x:col min="5" max="5" width="18" hidden="0" customWidth="1"/>
    <x:col min="6" max="6" width="24" hidden="0" customWidth="1"/>
    <x:col min="7" max="7" width="38" hidden="0" customWidth="1"/>
    <x:col min="8" max="8" width="31" hidden="0" customWidth="1"/>
    <x:col min="9" max="9" width="20" hidden="0" customWidth="1"/>
  </x:cols>
  <x:sheetData>
    <x:row r="1" ht="36" customHeight="1">
      <x:c r="A1" s="4" t="str">
        <x:v>AI LAB PROCUREMENT | SIMULATION DASHBOARD</x:v>
      </x:c>
      <x:c r="B1" s="4"/>
      <x:c r="C1" s="4"/>
      <x:c r="D1" s="4"/>
      <x:c r="E1" s="4"/>
      <x:c r="F1" s="4"/>
      <x:c r="G1" s="4"/>
      <x:c r="H1" s="4"/>
    </x:row>
    <x:row r="2" ht="28" customHeight="1">
      <x:c r="A2" s="9" t="str">
        <x:v>All values based on synthetic demonstration records, not University of Arizona transactions.</x:v>
      </x:c>
      <x:c r="B2" s="9"/>
      <x:c r="C2" s="9"/>
      <x:c r="D2" s="9"/>
      <x:c r="E2" s="9"/>
      <x:c r="F2" s="9"/>
      <x:c r="G2" s="9"/>
      <x:c r="H2" s="9"/>
    </x:row>
    <x:row r="4" ht="32" customHeight="1">
      <x:c r="A4" s="17" t="str">
        <x:v>KPI</x:v>
      </x:c>
      <x:c r="B4" s="17" t="str">
        <x:v>Value</x:v>
      </x:c>
      <x:c r="D4" s="17" t="str">
        <x:v>Delivery status</x:v>
      </x:c>
      <x:c r="E4" s="17" t="str">
        <x:v>Orders</x:v>
      </x:c>
      <x:c r="F4" s="17" t="str">
        <x:v>Share</x:v>
      </x:c>
      <x:c r="G4" s="17" t="str">
        <x:v>Interpretation</x:v>
      </x:c>
    </x:row>
    <x:row r="5" ht="30" customHeight="1">
      <x:c r="A5" s="23" t="str">
        <x:v>Purchase orders</x:v>
      </x:c>
      <x:c r="B5" s="43" t="n">
        <x:f>COUNTA(Order_History!A2:A166)</x:f>
        <x:v>165</x:v>
      </x:c>
      <x:c r="D5" t="str">
        <x:v>ON_TIME</x:v>
      </x:c>
      <x:c r="E5" t="n">
        <x:f>COUNTIF(Order_History!T2:T166,D5)</x:f>
        <x:v>128</x:v>
      </x:c>
      <x:c r="F5" s="38" t="n">
        <x:f>IFERROR(E5/$B$5,0)</x:f>
        <x:v>0.7757575757575758</x:v>
      </x:c>
      <x:c r="G5" t="str">
        <x:v>Received on/before promise</x:v>
      </x:c>
    </x:row>
    <x:row r="6" ht="30" customHeight="1">
      <x:c r="A6" s="23" t="str">
        <x:v>Total spend (USD)</x:v>
      </x:c>
      <x:c r="B6" s="44" t="n">
        <x:f>SUM(Order_History!P2:P166)</x:f>
        <x:v>25422.180000000004</x:v>
      </x:c>
      <x:c r="D6" t="str">
        <x:v>LATE</x:v>
      </x:c>
      <x:c r="E6" t="n">
        <x:f>COUNTIF(Order_History!T2:T166,D6)</x:f>
        <x:v>36</x:v>
      </x:c>
      <x:c r="F6" s="38" t="n">
        <x:f>IFERROR(E6/$B$5,0)</x:f>
        <x:v>0.21818181818181817</x:v>
      </x:c>
      <x:c r="G6" t="str">
        <x:v>Arrived after promise</x:v>
      </x:c>
    </x:row>
    <x:row r="7" ht="30" customHeight="1">
      <x:c r="A7" s="23" t="str">
        <x:v>Late deliveries</x:v>
      </x:c>
      <x:c r="B7" s="43" t="n">
        <x:f>COUNTIF(Order_History!T2:T166,"LATE")</x:f>
        <x:v>36</x:v>
      </x:c>
      <x:c r="D7" t="str">
        <x:v>PENDING</x:v>
      </x:c>
      <x:c r="E7" t="n">
        <x:f>COUNTIF(Order_History!T2:T166,D7)</x:f>
        <x:v>1</x:v>
      </x:c>
      <x:c r="F7" s="38" t="n">
        <x:f>IFERROR(E7/$B$5,0)</x:f>
        <x:v>0.006060606060606061</x:v>
      </x:c>
      <x:c r="G7" t="str">
        <x:v>Not received by 2025-06-23</x:v>
      </x:c>
    </x:row>
    <x:row r="8" ht="30" customHeight="1">
      <x:c r="A8" s="23" t="str">
        <x:v>On-time rate (received)</x:v>
      </x:c>
      <x:c r="B8" s="45" t="n">
        <x:f>IFERROR(COUNTIF(Order_History!T2:T166,"ON_TIME")/(COUNTIF(Order_History!T2:T166,"ON_TIME")+COUNTIF(Order_History!T2:T166,"LATE")),0)</x:f>
        <x:v>0.7804878048780488</x:v>
      </x:c>
    </x:row>
    <x:row r="11" ht="32" customHeight="1">
      <x:c r="A11" s="17" t="str">
        <x:v>Project</x:v>
      </x:c>
      <x:c r="B11" s="17" t="str">
        <x:v>Orders</x:v>
      </x:c>
      <x:c r="C11" s="17" t="str">
        <x:v>Spend USD</x:v>
      </x:c>
      <x:c r="D11" s="17" t="str">
        <x:v>Late</x:v>
      </x:c>
      <x:c r="E11" s="17" t="str">
        <x:v>On-time %</x:v>
      </x:c>
    </x:row>
    <x:row r="12">
      <x:c r="A12" t="str">
        <x:v>Paper microfluidics (SALSA)</x:v>
      </x:c>
      <x:c r="B12" t="n">
        <x:f>COUNTIF(Order_History!B2:B166,A12)</x:f>
        <x:v>53</x:v>
      </x:c>
      <x:c r="C12" s="34" t="n">
        <x:f>SUMIF(Order_History!B2:B166,A12,Order_History!P2:P166)</x:f>
        <x:v>7677.3</x:v>
      </x:c>
      <x:c r="D12" t="n">
        <x:f>COUNTIFS(Order_History!B2:B166,A12,Order_History!T2:T166,"LATE")</x:f>
        <x:v>12</x:v>
      </x:c>
      <x:c r="E12" s="38" t="n">
        <x:f>IFERROR(COUNTIFS(Order_History!B2:B166,A12,Order_History!T2:T166,"ON_TIME")/(B12-COUNTIFS(Order_History!B2:B166,A12,Order_History!T2:T166,"PENDING")),0)</x:f>
        <x:v>0.7692307692307693</x:v>
      </x:c>
    </x:row>
    <x:row r="13">
      <x:c r="A13" t="str">
        <x:v>IMCD kidney-on-a-chip</x:v>
      </x:c>
      <x:c r="B13" t="n">
        <x:f>COUNTIF(Order_History!B2:B166,A13)</x:f>
        <x:v>93</x:v>
      </x:c>
      <x:c r="C13" s="34" t="n">
        <x:f>SUMIF(Order_History!B2:B166,A13,Order_History!P2:P166)</x:f>
        <x:v>14760.000000000002</x:v>
      </x:c>
      <x:c r="D13" t="n">
        <x:f>COUNTIFS(Order_History!B2:B166,A13,Order_History!T2:T166,"LATE")</x:f>
        <x:v>21</x:v>
      </x:c>
      <x:c r="E13" s="38" t="n">
        <x:f>IFERROR(COUNTIFS(Order_History!B2:B166,A13,Order_History!T2:T166,"ON_TIME")/(B13-COUNTIFS(Order_History!B2:B166,A13,Order_History!T2:T166,"PENDING")),0)</x:f>
        <x:v>0.7741935483870968</x:v>
      </x:c>
    </x:row>
    <x:row r="14">
      <x:c r="A14" t="str">
        <x:v>Smartphone optical readout</x:v>
      </x:c>
      <x:c r="B14" t="n">
        <x:f>COUNTIF(Order_History!B2:B166,A14)</x:f>
        <x:v>19</x:v>
      </x:c>
      <x:c r="C14" s="34" t="n">
        <x:f>SUMIF(Order_History!B2:B166,A14,Order_History!P2:P166)</x:f>
        <x:v>2984.88</x:v>
      </x:c>
      <x:c r="D14" t="n">
        <x:f>COUNTIFS(Order_History!B2:B166,A14,Order_History!T2:T166,"LATE")</x:f>
        <x:v>3</x:v>
      </x:c>
      <x:c r="E14" s="38" t="n">
        <x:f>IFERROR(COUNTIFS(Order_History!B2:B166,A14,Order_History!T2:T166,"ON_TIME")/(B14-COUNTIFS(Order_History!B2:B166,A14,Order_History!T2:T166,"PENDING")),0)</x:f>
        <x:v>0.8421052631578947</x:v>
      </x:c>
    </x:row>
    <x:row r="17" ht="32" customHeight="1">
      <x:c r="A17" s="17" t="str">
        <x:v>Supplier ID</x:v>
      </x:c>
      <x:c r="B17" s="17" t="str">
        <x:v>Supplier (demo)</x:v>
      </x:c>
      <x:c r="C17" s="17" t="str">
        <x:v>Orders</x:v>
      </x:c>
      <x:c r="D17" s="17" t="str">
        <x:v>Spend USD</x:v>
      </x:c>
      <x:c r="E17" s="17" t="str">
        <x:v>Late count</x:v>
      </x:c>
      <x:c r="F17" s="17" t="str">
        <x:v>On-time %</x:v>
      </x:c>
    </x:row>
    <x:row r="18">
      <x:c r="A18" t="str">
        <x:v>SUP-01</x:v>
      </x:c>
      <x:c r="B18" t="str">
        <x:v>Sonoran Scientific Supply</x:v>
      </x:c>
      <x:c r="C18" t="n">
        <x:f>COUNTIF(Order_History!G2:G166,A18)</x:f>
        <x:v>51</x:v>
      </x:c>
      <x:c r="D18" s="34" t="n">
        <x:f>SUMIF(Order_History!G2:G166,A18,Order_History!P2:P166)</x:f>
        <x:v>6917.009999999999</x:v>
      </x:c>
      <x:c r="E18" t="n">
        <x:f>COUNTIFS(Order_History!G2:G166,A18,Order_History!T2:T166,"LATE")</x:f>
        <x:v>6</x:v>
      </x:c>
      <x:c r="F18" s="38" t="n">
        <x:f>IFERROR(COUNTIFS(Order_History!G2:G166,A18,Order_History!T2:T166,"ON_TIME")/(C18-COUNTIFS(Order_History!G2:G166,A18,Order_History!T2:T166,"PENDING")),0)</x:f>
        <x:v>0.8823529411764706</x:v>
      </x:c>
    </x:row>
    <x:row r="19">
      <x:c r="A19" t="str">
        <x:v>SUP-02</x:v>
      </x:c>
      <x:c r="B19" t="str">
        <x:v>Desert BioReagents</x:v>
      </x:c>
      <x:c r="C19" t="n">
        <x:f>COUNTIF(Order_History!G2:G166,A19)</x:f>
        <x:v>30</x:v>
      </x:c>
      <x:c r="D19" s="34" t="n">
        <x:f>SUMIF(Order_History!G2:G166,A19,Order_History!P2:P166)</x:f>
        <x:v>4838.43</x:v>
      </x:c>
      <x:c r="E19" t="n">
        <x:f>COUNTIFS(Order_History!G2:G166,A19,Order_History!T2:T166,"LATE")</x:f>
        <x:v>7</x:v>
      </x:c>
      <x:c r="F19" s="38" t="n">
        <x:f>IFERROR(COUNTIFS(Order_History!G2:G166,A19,Order_History!T2:T166,"ON_TIME")/(C19-COUNTIFS(Order_History!G2:G166,A19,Order_History!T2:T166,"PENDING")),0)</x:f>
        <x:v>0.7666666666666667</x:v>
      </x:c>
    </x:row>
    <x:row r="20">
      <x:c r="A20" t="str">
        <x:v>SUP-03</x:v>
      </x:c>
      <x:c r="B20" t="str">
        <x:v>Catalina Paper &amp; Membrane</x:v>
      </x:c>
      <x:c r="C20" t="n">
        <x:f>COUNTIF(Order_History!G2:G166,A20)</x:f>
        <x:v>18</x:v>
      </x:c>
      <x:c r="D20" s="34" t="n">
        <x:f>SUMIF(Order_History!G2:G166,A20,Order_History!P2:P166)</x:f>
        <x:v>3465.0799999999995</x:v>
      </x:c>
      <x:c r="E20" t="n">
        <x:f>COUNTIFS(Order_History!G2:G166,A20,Order_History!T2:T166,"LATE")</x:f>
        <x:v>7</x:v>
      </x:c>
      <x:c r="F20" s="38" t="n">
        <x:f>IFERROR(COUNTIFS(Order_History!G2:G166,A20,Order_History!T2:T166,"ON_TIME")/(C20-COUNTIFS(Order_History!G2:G166,A20,Order_History!T2:T166,"PENDING")),0)</x:f>
        <x:v>0.5882352941176471</x:v>
      </x:c>
    </x:row>
    <x:row r="21">
      <x:c r="A21" t="str">
        <x:v>SUP-04</x:v>
      </x:c>
      <x:c r="B21" t="str">
        <x:v>Canyon Microfabrication</x:v>
      </x:c>
      <x:c r="C21" t="n">
        <x:f>COUNTIF(Order_History!G2:G166,A21)</x:f>
        <x:v>18</x:v>
      </x:c>
      <x:c r="D21" s="34" t="n">
        <x:f>SUMIF(Order_History!G2:G166,A21,Order_History!P2:P166)</x:f>
        <x:v>3889.9099999999994</x:v>
      </x:c>
      <x:c r="E21" t="n">
        <x:f>COUNTIFS(Order_History!G2:G166,A21,Order_History!T2:T166,"LATE")</x:f>
        <x:v>3</x:v>
      </x:c>
      <x:c r="F21" s="38" t="n">
        <x:f>IFERROR(COUNTIFS(Order_History!G2:G166,A21,Order_History!T2:T166,"ON_TIME")/(C21-COUNTIFS(Order_History!G2:G166,A21,Order_History!T2:T166,"PENDING")),0)</x:f>
        <x:v>0.8333333333333334</x:v>
      </x:c>
    </x:row>
    <x:row r="22" ht="32" customHeight="1">
      <x:c r="A22" t="str">
        <x:v>SUP-05</x:v>
      </x:c>
      <x:c r="B22" t="str">
        <x:v>Tucson Fluidics Components</x:v>
      </x:c>
      <x:c r="C22" t="n">
        <x:f>COUNTIF(Order_History!G2:G166,A22)</x:f>
        <x:v>11</x:v>
      </x:c>
      <x:c r="D22" s="34" t="n">
        <x:f>SUMIF(Order_History!G2:G166,A22,Order_History!P2:P166)</x:f>
        <x:v>1505.01</x:v>
      </x:c>
      <x:c r="E22" t="n">
        <x:f>COUNTIFS(Order_History!G2:G166,A22,Order_History!T2:T166,"LATE")</x:f>
        <x:v>3</x:v>
      </x:c>
      <x:c r="F22" s="38" t="n">
        <x:f>IFERROR(COUNTIFS(Order_History!G2:G166,A22,Order_History!T2:T166,"ON_TIME")/(C22-COUNTIFS(Order_History!G2:G166,A22,Order_History!T2:T166,"PENDING")),0)</x:f>
        <x:v>0.7272727272727273</x:v>
      </x:c>
      <x:c r="H22" s="17" t="str">
        <x:v>Project</x:v>
      </x:c>
      <x:c r="I22" s="17" t="str">
        <x:v>Spend USD</x:v>
      </x:c>
    </x:row>
    <x:row r="23">
      <x:c r="A23" t="str">
        <x:v>SUP-06</x:v>
      </x:c>
      <x:c r="B23" t="str">
        <x:v>Southwest Imaging Parts</x:v>
      </x:c>
      <x:c r="C23" t="n">
        <x:f>COUNTIF(Order_History!G2:G166,A23)</x:f>
        <x:v>6</x:v>
      </x:c>
      <x:c r="D23" s="34" t="n">
        <x:f>SUMIF(Order_History!G2:G166,A23,Order_History!P2:P166)</x:f>
        <x:v>847.7900000000001</x:v>
      </x:c>
      <x:c r="E23" t="n">
        <x:f>COUNTIFS(Order_History!G2:G166,A23,Order_History!T2:T166,"LATE")</x:f>
        <x:v>1</x:v>
      </x:c>
      <x:c r="F23" s="38" t="n">
        <x:f>IFERROR(COUNTIFS(Order_History!G2:G166,A23,Order_History!T2:T166,"ON_TIME")/(C23-COUNTIFS(Order_History!G2:G166,A23,Order_History!T2:T166,"PENDING")),0)</x:f>
        <x:v>0.8333333333333334</x:v>
      </x:c>
      <x:c r="H23" t="str">
        <x:v>Paper microfluidics (SALSA)</x:v>
      </x:c>
      <x:c r="I23" s="54" t="n">
        <x:f>C12</x:f>
        <x:v>7677.3</x:v>
      </x:c>
    </x:row>
    <x:row r="24">
      <x:c r="A24" t="str">
        <x:v>SUP-07</x:v>
      </x:c>
      <x:c r="B24" t="str">
        <x:v>RapidLab Alternate Source</x:v>
      </x:c>
      <x:c r="C24" t="n">
        <x:f>COUNTIF(Order_History!G2:G166,A24)</x:f>
        <x:v>26</x:v>
      </x:c>
      <x:c r="D24" s="34" t="n">
        <x:f>SUMIF(Order_History!G2:G166,A24,Order_History!P2:P166)</x:f>
        <x:v>2835.6</x:v>
      </x:c>
      <x:c r="E24" t="n">
        <x:f>COUNTIFS(Order_History!G2:G166,A24,Order_History!T2:T166,"LATE")</x:f>
        <x:v>8</x:v>
      </x:c>
      <x:c r="F24" s="38" t="n">
        <x:f>IFERROR(COUNTIFS(Order_History!G2:G166,A24,Order_History!T2:T166,"ON_TIME")/(C24-COUNTIFS(Order_History!G2:G166,A24,Order_History!T2:T166,"PENDING")),0)</x:f>
        <x:v>0.6923076923076923</x:v>
      </x:c>
      <x:c r="H24" t="str">
        <x:v>IMCD kidney-on-a-chip</x:v>
      </x:c>
      <x:c r="I24" s="54" t="n">
        <x:f>C13</x:f>
        <x:v>14760.000000000002</x:v>
      </x:c>
    </x:row>
    <x:row r="25">
      <x:c r="A25" t="str">
        <x:v>SUP-08</x:v>
      </x:c>
      <x:c r="B25" t="str">
        <x:v>Precision Prototype Services</x:v>
      </x:c>
      <x:c r="C25" t="n">
        <x:f>COUNTIF(Order_History!G2:G166,A25)</x:f>
        <x:v>5</x:v>
      </x:c>
      <x:c r="D25" s="34" t="n">
        <x:f>SUMIF(Order_History!G2:G166,A25,Order_History!P2:P166)</x:f>
        <x:v>1123.35</x:v>
      </x:c>
      <x:c r="E25" t="n">
        <x:f>COUNTIFS(Order_History!G2:G166,A25,Order_History!T2:T166,"LATE")</x:f>
        <x:v>1</x:v>
      </x:c>
      <x:c r="F25" s="38" t="n">
        <x:f>IFERROR(COUNTIFS(Order_History!G2:G166,A25,Order_History!T2:T166,"ON_TIME")/(C25-COUNTIFS(Order_History!G2:G166,A25,Order_History!T2:T166,"PENDING")),0)</x:f>
        <x:v>0.8</x:v>
      </x:c>
      <x:c r="H25" t="str">
        <x:v>Smartphone optical readout</x:v>
      </x:c>
      <x:c r="I25" s="54" t="n">
        <x:f>C14</x:f>
        <x:v>2984.88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b4f26e955b342c1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5" hidden="0" customWidth="1"/>
    <x:col min="3" max="3" width="43" hidden="0" customWidth="1"/>
    <x:col min="4" max="4" width="56" hidden="0" customWidth="1"/>
    <x:col min="5" max="5" width="62" hidden="0" customWidth="1"/>
    <x:col min="6" max="6" width="57" hidden="0" customWidth="1"/>
  </x:cols>
  <x:sheetData>
    <x:row r="1" ht="36" customHeight="1">
      <x:c r="A1" s="4" t="str">
        <x:v>AI PROCUREMENT | 3 TEST SCENARIOS (SIMULATED)</x:v>
      </x:c>
      <x:c r="B1" s="4"/>
      <x:c r="C1" s="4"/>
      <x:c r="D1" s="4"/>
      <x:c r="E1" s="4"/>
      <x:c r="F1" s="4"/>
    </x:row>
    <x:row r="2" ht="30" customHeight="1">
      <x:c r="A2" s="9" t="str">
        <x:v>Illustrative scenarios only. They are not documented incidents from a real research laboratory.</x:v>
      </x:c>
      <x:c r="B2" s="9"/>
      <x:c r="C2" s="9"/>
      <x:c r="D2" s="9"/>
      <x:c r="E2" s="9"/>
      <x:c r="F2" s="9"/>
    </x:row>
    <x:row r="4" ht="32" customHeight="1">
      <x:c r="A4" s="17" t="str">
        <x:v>Case</x:v>
      </x:c>
      <x:c r="B4" s="17" t="str">
        <x:v>Research use</x:v>
      </x:c>
      <x:c r="C4" s="17" t="str">
        <x:v>Problem / trigger</x:v>
      </x:c>
      <x:c r="D4" s="17" t="str">
        <x:v>Inputs to AI</x:v>
      </x:c>
      <x:c r="E4" s="17" t="str">
        <x:v>Recommended evaluation</x:v>
      </x:c>
      <x:c r="F4" s="17" t="str">
        <x:v>Human verification</x:v>
      </x:c>
    </x:row>
    <x:row r="5" ht="88" customHeight="1">
      <x:c r="A5" s="26" t="str">
        <x:v>CASE-01</x:v>
      </x:c>
      <x:c r="B5" s="26" t="str">
        <x:v>IMCD kidney-on-a-chip</x:v>
      </x:c>
      <x:c r="C5" s="26" t="str">
        <x:v>Porous membrane (OOC-002) repeatedly delivered late in simulated Feb orders</x:v>
      </x:c>
      <x:c r="D5" s="26" t="str">
        <x:v>Needed date; days of stock; purchase history by SKU; alternate specification; vendor lead-time distribution</x:v>
      </x:c>
      <x:c r="E5" s="26" t="str">
        <x:v>Filter candidates by membrane pore size and biocompatibility; compare delivery risk and incremental cost; prioritize test feasibility</x:v>
      </x:c>
      <x:c r="F5" s="26" t="str">
        <x:v>Alternate membrane is NOT interchangeable without engineering/biological validation</x:v>
      </x:c>
    </x:row>
    <x:row r="6" ht="88" customHeight="1">
      <x:c r="A6" s="26" t="str">
        <x:v>CASE-02</x:v>
      </x:c>
      <x:c r="B6" s="26" t="str">
        <x:v>IMCD kidney-on-a-chip</x:v>
      </x:c>
      <x:c r="C6" s="26" t="str">
        <x:v>Silicone tubing (OOC-005) supplier signals a 10-day backorder</x:v>
      </x:c>
      <x:c r="D6" s="26" t="str">
        <x:v>Fluidic ID/OD tolerance; flow rate; lead time; price; critical experiment schedule; inventory</x:v>
      </x:c>
      <x:c r="E6" s="26" t="str">
        <x:v>Compute stockout date vs. replenishment lead time; identify qualified backup and expedited shipping premium</x:v>
      </x:c>
      <x:c r="F6" s="26" t="str">
        <x:v>Check connector fit, sterilization requirements and material compatibility</x:v>
      </x:c>
    </x:row>
    <x:row r="7" ht="88" customHeight="1">
      <x:c r="A7" s="26" t="str">
        <x:v>CASE-03</x:v>
      </x:c>
      <x:c r="B7" s="26" t="str">
        <x:v>Paper microfluidics (SALSA)</x:v>
      </x:c>
      <x:c r="C7" s="26" t="str">
        <x:v>Two suppliers quote different price and delivery for cellulose filter paper</x:v>
      </x:c>
      <x:c r="D7" s="26" t="str">
        <x:v>Order qty; unit price; freight; promised date; accepted quality result; required experiment start</x:v>
      </x:c>
      <x:c r="E7" s="26" t="str">
        <x:v>Compare total landed cost and deadline feasibility; AI explains trade-offs with traceable calculations</x:v>
      </x:c>
      <x:c r="F7" s="26" t="str">
        <x:v>Verify lot specification and capillary performance before switching</x:v>
      </x:c>
    </x:row>
    <x:row r="9">
      <x:c r="A9" s="52" t="str">
        <x:v>Validation checklist</x:v>
      </x:c>
      <x:c r="B9" s="52"/>
      <x:c r="C9" s="52"/>
      <x:c r="D9" s="52"/>
      <x:c r="E9" s="52"/>
      <x:c r="F9" s="52"/>
    </x:row>
    <x:row r="10">
      <x:c r="A10" t="str">
        <x:v>1</x:v>
      </x:c>
      <x:c r="B10" t="str">
        <x:v>Input records and CSV parse correctly</x:v>
      </x:c>
    </x:row>
    <x:row r="11">
      <x:c r="A11" t="str">
        <x:v>2</x:v>
      </x:c>
      <x:c r="B11" t="str">
        <x:v>Cost = quantity × unit price + shipping</x:v>
      </x:c>
    </x:row>
    <x:row r="12">
      <x:c r="A12" t="str">
        <x:v>3</x:v>
      </x:c>
      <x:c r="B12" t="str">
        <x:v>Delay = max(actual receipt − promise, 0)</x:v>
      </x:c>
    </x:row>
    <x:row r="13">
      <x:c r="A13" t="str">
        <x:v>4</x:v>
      </x:c>
      <x:c r="B13" t="str">
        <x:v>Only technically qualified vendors can be recommended</x:v>
      </x:c>
    </x:row>
    <x:row r="14">
      <x:c r="A14" t="str">
        <x:v>5</x:v>
      </x:c>
      <x:c r="B14" t="str">
        <x:v>AI-generated reasons must cite the input figures, not invented evidence</x:v>
      </x:c>
    </x:row>
  </x:sheetData>
  <x:mergeCells>
    <x:mergeCell ref="A1:F1"/>
    <x:mergeCell ref="A2:F2"/>
  </x:mergeCells>
  <x:pageMargins left="0.7" right="0.7" top="0.75" bottom="0.75" header="0.3" footer="0.3"/>
</x:worksheet>
</file>